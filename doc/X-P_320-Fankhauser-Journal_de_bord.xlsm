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\320-Projet\oo-them-all\doc\"/>
    </mc:Choice>
  </mc:AlternateContent>
  <xr:revisionPtr revIDLastSave="0" documentId="13_ncr:1_{02DE4855-C9B7-4658-8DED-9279F70A264E}" xr6:coauthVersionLast="47" xr6:coauthVersionMax="47" xr10:uidLastSave="{00000000-0000-0000-0000-000000000000}"/>
  <bookViews>
    <workbookView xWindow="28800" yWindow="0" windowWidth="14400" windowHeight="15600" tabRatio="593" activeTab="6" xr2:uid="{00000000-000D-0000-FFFF-FFFF00000000}"/>
  </bookViews>
  <sheets>
    <sheet name="Donnees" sheetId="7" r:id="rId1"/>
    <sheet name="Diagramme" sheetId="17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74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74" l="1"/>
  <c r="D115" i="174"/>
  <c r="D96" i="174"/>
  <c r="D77" i="174"/>
  <c r="D58" i="174"/>
  <c r="D39" i="174"/>
  <c r="D20" i="174"/>
  <c r="D1" i="174"/>
  <c r="B151" i="174"/>
  <c r="B132" i="174"/>
  <c r="B113" i="174"/>
  <c r="B94" i="174"/>
  <c r="B75" i="174"/>
  <c r="B56" i="174"/>
  <c r="B37" i="174"/>
  <c r="B18" i="174"/>
  <c r="B13" i="171"/>
  <c r="B11" i="171"/>
  <c r="B9" i="171"/>
  <c r="B7" i="171"/>
  <c r="B5" i="171"/>
  <c r="C16" i="171"/>
  <c r="C15" i="171"/>
  <c r="B18" i="154"/>
  <c r="B13" i="11" l="1"/>
</calcChain>
</file>

<file path=xl/sharedStrings.xml><?xml version="1.0" encoding="utf-8"?>
<sst xmlns="http://schemas.openxmlformats.org/spreadsheetml/2006/main" count="133" uniqueCount="51">
  <si>
    <t>Module :</t>
  </si>
  <si>
    <t>Prénom - nom :</t>
  </si>
  <si>
    <t>Kentin - Fankhauser</t>
  </si>
  <si>
    <t>Classe :</t>
  </si>
  <si>
    <t>FID1</t>
  </si>
  <si>
    <t>Lieu :</t>
  </si>
  <si>
    <t>ETML   /  Vennes  /  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</si>
  <si>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</si>
  <si>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</si>
  <si>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</si>
  <si>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</si>
  <si>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</si>
  <si>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</si>
  <si>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</si>
  <si>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</si>
  <si>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</si>
  <si>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</si>
  <si>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</si>
  <si>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</si>
  <si>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</si>
  <si>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</si>
  <si>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</si>
  <si>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</si>
  <si>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</si>
  <si>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</si>
  <si>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</si>
  <si>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</si>
  <si>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</si>
  <si>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Ecriture du rapport</t>
  </si>
  <si>
    <t>Choix du programme</t>
  </si>
  <si>
    <t>Documentation</t>
  </si>
  <si>
    <t>Programmation</t>
  </si>
  <si>
    <t>Débuggage</t>
  </si>
  <si>
    <t>S 1</t>
  </si>
  <si>
    <t>S 2</t>
  </si>
  <si>
    <t>S 3</t>
  </si>
  <si>
    <t>S 4</t>
  </si>
  <si>
    <t>S 5</t>
  </si>
  <si>
    <t>S 6</t>
  </si>
  <si>
    <t>S 7</t>
  </si>
  <si>
    <t>S 8</t>
  </si>
  <si>
    <t>P_320</t>
  </si>
  <si>
    <t>Préparation</t>
  </si>
  <si>
    <t>Max. 12</t>
  </si>
  <si>
    <t xml:space="preserve">Introduction au projet </t>
  </si>
  <si>
    <t>Mise en place du repository Github</t>
  </si>
  <si>
    <t xml:space="preserve">Rédaction de l'introduction et brève présentation du choix fait </t>
  </si>
  <si>
    <t>Programmation pour le menu d'affichage</t>
  </si>
  <si>
    <t xml:space="preserve">Présentation faite par le prof </t>
  </si>
  <si>
    <t>Programmation de la cerification de mode de passe</t>
  </si>
  <si>
    <t>Programmation du début du menu de choix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</si>
</sst>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2465" name="btnImportRealisation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="85" zoomScaleNormal="100" zoomScaleSheetLayoutView="85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41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46036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46092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0" t="s">
        <v>13</v>
      </c>
      <c r="C19" s="121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3CFF-044E-47E3-8368-98B48C9742D5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75" ht="14.25" thickBot="1" x14ac:dyDescent="0.3">
      <c r="B1" s="91"/>
      <c r="C1" s="91"/>
    </row>
    <row r="2" spans="1:75" ht="42.75" customHeight="1" thickBot="1" x14ac:dyDescent="0.3">
      <c r="A2" s="92"/>
      <c r="B2" s="93" t="s">
        <v>16</v>
      </c>
      <c r="C2" s="94" t="s">
        <v>17</v>
      </c>
      <c r="D2" s="127" t="s">
        <v>33</v>
      </c>
      <c r="E2" s="128"/>
      <c r="F2" s="128"/>
      <c r="G2" s="128"/>
      <c r="H2" s="128"/>
      <c r="I2" s="128"/>
      <c r="J2" s="128"/>
      <c r="K2" s="128"/>
      <c r="L2" s="129"/>
      <c r="M2" s="127" t="s">
        <v>34</v>
      </c>
      <c r="N2" s="128"/>
      <c r="O2" s="128"/>
      <c r="P2" s="128"/>
      <c r="Q2" s="128"/>
      <c r="R2" s="128"/>
      <c r="S2" s="128"/>
      <c r="T2" s="128"/>
      <c r="U2" s="129"/>
      <c r="V2" s="127" t="s">
        <v>35</v>
      </c>
      <c r="W2" s="128"/>
      <c r="X2" s="128"/>
      <c r="Y2" s="128"/>
      <c r="Z2" s="128"/>
      <c r="AA2" s="128"/>
      <c r="AB2" s="128"/>
      <c r="AC2" s="128"/>
      <c r="AD2" s="129"/>
      <c r="AE2" s="127" t="s">
        <v>36</v>
      </c>
      <c r="AF2" s="128"/>
      <c r="AG2" s="128"/>
      <c r="AH2" s="128"/>
      <c r="AI2" s="128"/>
      <c r="AJ2" s="128"/>
      <c r="AK2" s="128"/>
      <c r="AL2" s="128"/>
      <c r="AM2" s="129"/>
      <c r="AN2" s="127" t="s">
        <v>37</v>
      </c>
      <c r="AO2" s="128"/>
      <c r="AP2" s="128"/>
      <c r="AQ2" s="128"/>
      <c r="AR2" s="128"/>
      <c r="AS2" s="128"/>
      <c r="AT2" s="128"/>
      <c r="AU2" s="128"/>
      <c r="AV2" s="129"/>
      <c r="AW2" s="127" t="s">
        <v>38</v>
      </c>
      <c r="AX2" s="128"/>
      <c r="AY2" s="128"/>
      <c r="AZ2" s="128"/>
      <c r="BA2" s="128"/>
      <c r="BB2" s="128"/>
      <c r="BC2" s="128"/>
      <c r="BD2" s="128"/>
      <c r="BE2" s="129"/>
      <c r="BF2" s="127" t="s">
        <v>39</v>
      </c>
      <c r="BG2" s="128"/>
      <c r="BH2" s="128"/>
      <c r="BI2" s="128"/>
      <c r="BJ2" s="128"/>
      <c r="BK2" s="128"/>
      <c r="BL2" s="128"/>
      <c r="BM2" s="128"/>
      <c r="BN2" s="129"/>
      <c r="BO2" s="127" t="s">
        <v>40</v>
      </c>
      <c r="BP2" s="128"/>
      <c r="BQ2" s="128"/>
      <c r="BR2" s="128"/>
      <c r="BS2" s="128"/>
      <c r="BT2" s="128"/>
      <c r="BU2" s="128"/>
      <c r="BV2" s="128"/>
      <c r="BW2" s="129"/>
    </row>
    <row r="3" spans="1:75" ht="19.5" customHeight="1" x14ac:dyDescent="0.25">
      <c r="A3" s="92"/>
      <c r="B3" s="124" t="s">
        <v>15</v>
      </c>
      <c r="C3" s="95">
        <v>0</v>
      </c>
      <c r="D3" s="96"/>
      <c r="E3" s="97"/>
      <c r="F3" s="98"/>
      <c r="G3" s="99"/>
      <c r="H3" s="97"/>
      <c r="I3" s="98"/>
      <c r="J3" s="99"/>
      <c r="K3" s="97"/>
      <c r="L3" s="100"/>
      <c r="M3" s="96"/>
      <c r="N3" s="97"/>
      <c r="O3" s="98"/>
      <c r="P3" s="99"/>
      <c r="Q3" s="97"/>
      <c r="R3" s="98"/>
      <c r="S3" s="99"/>
      <c r="T3" s="97"/>
      <c r="U3" s="100"/>
      <c r="V3" s="96"/>
      <c r="W3" s="97"/>
      <c r="X3" s="98"/>
      <c r="Y3" s="99"/>
      <c r="Z3" s="97"/>
      <c r="AA3" s="98"/>
      <c r="AB3" s="99"/>
      <c r="AC3" s="97"/>
      <c r="AD3" s="100"/>
      <c r="AE3" s="96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100"/>
      <c r="AW3" s="96"/>
      <c r="AX3" s="97"/>
      <c r="AY3" s="98"/>
      <c r="AZ3" s="99"/>
      <c r="BA3" s="97"/>
      <c r="BB3" s="98"/>
      <c r="BC3" s="99"/>
      <c r="BD3" s="97"/>
      <c r="BE3" s="100"/>
      <c r="BF3" s="96"/>
      <c r="BG3" s="97"/>
      <c r="BH3" s="98"/>
      <c r="BI3" s="99"/>
      <c r="BJ3" s="97"/>
      <c r="BK3" s="98"/>
      <c r="BL3" s="99"/>
      <c r="BM3" s="97"/>
      <c r="BN3" s="100"/>
      <c r="BO3" s="96"/>
      <c r="BP3" s="97"/>
      <c r="BQ3" s="98"/>
      <c r="BR3" s="99"/>
      <c r="BS3" s="97"/>
      <c r="BT3" s="98"/>
      <c r="BU3" s="99"/>
      <c r="BV3" s="97"/>
      <c r="BW3" s="100"/>
    </row>
    <row r="4" spans="1:75" ht="19.5" customHeight="1" thickBot="1" x14ac:dyDescent="0.3">
      <c r="A4" s="92"/>
      <c r="B4" s="125"/>
      <c r="C4" s="101">
        <v>0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02"/>
      <c r="AF4" s="103"/>
      <c r="AG4" s="104"/>
      <c r="AH4" s="105"/>
      <c r="AI4" s="103"/>
      <c r="AJ4" s="104"/>
      <c r="AK4" s="105"/>
      <c r="AL4" s="103"/>
      <c r="AM4" s="10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04"/>
      <c r="BI4" s="105"/>
      <c r="BJ4" s="103"/>
      <c r="BK4" s="104"/>
      <c r="BL4" s="105"/>
      <c r="BM4" s="103"/>
      <c r="BN4" s="106"/>
      <c r="BO4" s="102"/>
      <c r="BP4" s="103"/>
      <c r="BQ4" s="104"/>
      <c r="BR4" s="105"/>
      <c r="BS4" s="103"/>
      <c r="BT4" s="104"/>
      <c r="BU4" s="105"/>
      <c r="BV4" s="103"/>
      <c r="BW4" s="106"/>
    </row>
    <row r="5" spans="1:75" ht="19.5" customHeight="1" x14ac:dyDescent="0.25">
      <c r="B5" s="126" t="str">
        <f>Donnees!$C$21</f>
        <v>Ecriture du rapport</v>
      </c>
      <c r="C5" s="107">
        <v>0</v>
      </c>
      <c r="D5" s="96"/>
      <c r="E5" s="97"/>
      <c r="F5" s="98"/>
      <c r="G5" s="99"/>
      <c r="H5" s="97"/>
      <c r="I5" s="98"/>
      <c r="J5" s="99"/>
      <c r="K5" s="97"/>
      <c r="L5" s="100"/>
      <c r="M5" s="96"/>
      <c r="N5" s="97"/>
      <c r="O5" s="98"/>
      <c r="P5" s="99"/>
      <c r="Q5" s="97"/>
      <c r="R5" s="98"/>
      <c r="S5" s="99"/>
      <c r="T5" s="97"/>
      <c r="U5" s="100"/>
      <c r="V5" s="96"/>
      <c r="W5" s="97"/>
      <c r="X5" s="98"/>
      <c r="Y5" s="99"/>
      <c r="Z5" s="97"/>
      <c r="AA5" s="98"/>
      <c r="AB5" s="99"/>
      <c r="AC5" s="97"/>
      <c r="AD5" s="100"/>
      <c r="AE5" s="96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100"/>
      <c r="AW5" s="96"/>
      <c r="AX5" s="97"/>
      <c r="AY5" s="98"/>
      <c r="AZ5" s="99"/>
      <c r="BA5" s="97"/>
      <c r="BB5" s="98"/>
      <c r="BC5" s="99"/>
      <c r="BD5" s="97"/>
      <c r="BE5" s="100"/>
      <c r="BF5" s="96"/>
      <c r="BG5" s="97"/>
      <c r="BH5" s="98"/>
      <c r="BI5" s="99"/>
      <c r="BJ5" s="97"/>
      <c r="BK5" s="98"/>
      <c r="BL5" s="99"/>
      <c r="BM5" s="97"/>
      <c r="BN5" s="100"/>
      <c r="BO5" s="96"/>
      <c r="BP5" s="97"/>
      <c r="BQ5" s="98"/>
      <c r="BR5" s="99"/>
      <c r="BS5" s="97"/>
      <c r="BT5" s="98"/>
      <c r="BU5" s="99"/>
      <c r="BV5" s="97"/>
      <c r="BW5" s="100"/>
    </row>
    <row r="6" spans="1:75" ht="19.5" customHeight="1" thickBot="1" x14ac:dyDescent="0.3">
      <c r="B6" s="123"/>
      <c r="C6" s="108">
        <v>0</v>
      </c>
      <c r="D6" s="102"/>
      <c r="E6" s="103"/>
      <c r="F6" s="104"/>
      <c r="G6" s="105"/>
      <c r="H6" s="103"/>
      <c r="I6" s="104"/>
      <c r="J6" s="105"/>
      <c r="K6" s="103"/>
      <c r="L6" s="106"/>
      <c r="M6" s="102"/>
      <c r="N6" s="103"/>
      <c r="O6" s="104"/>
      <c r="P6" s="105"/>
      <c r="Q6" s="103"/>
      <c r="R6" s="104"/>
      <c r="S6" s="105"/>
      <c r="T6" s="103"/>
      <c r="U6" s="106"/>
      <c r="V6" s="10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02"/>
      <c r="AX6" s="103"/>
      <c r="AY6" s="104"/>
      <c r="AZ6" s="105"/>
      <c r="BA6" s="103"/>
      <c r="BB6" s="104"/>
      <c r="BC6" s="105"/>
      <c r="BD6" s="103"/>
      <c r="BE6" s="106"/>
      <c r="BF6" s="10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</row>
    <row r="7" spans="1:75" ht="19.5" customHeight="1" x14ac:dyDescent="0.25">
      <c r="B7" s="122" t="str">
        <f>Donnees!$C$22</f>
        <v>Choix du programme</v>
      </c>
      <c r="C7" s="107">
        <v>0</v>
      </c>
      <c r="D7" s="96"/>
      <c r="E7" s="97"/>
      <c r="F7" s="98"/>
      <c r="G7" s="99"/>
      <c r="H7" s="97"/>
      <c r="I7" s="98"/>
      <c r="J7" s="99"/>
      <c r="K7" s="97"/>
      <c r="L7" s="100"/>
      <c r="M7" s="96"/>
      <c r="N7" s="97"/>
      <c r="O7" s="98"/>
      <c r="P7" s="99"/>
      <c r="Q7" s="97"/>
      <c r="R7" s="98"/>
      <c r="S7" s="99"/>
      <c r="T7" s="97"/>
      <c r="U7" s="100"/>
      <c r="V7" s="96"/>
      <c r="W7" s="97"/>
      <c r="X7" s="98"/>
      <c r="Y7" s="99"/>
      <c r="Z7" s="97"/>
      <c r="AA7" s="98"/>
      <c r="AB7" s="99"/>
      <c r="AC7" s="97"/>
      <c r="AD7" s="100"/>
      <c r="AE7" s="96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100"/>
      <c r="AW7" s="96"/>
      <c r="AX7" s="97"/>
      <c r="AY7" s="98"/>
      <c r="AZ7" s="99"/>
      <c r="BA7" s="97"/>
      <c r="BB7" s="98"/>
      <c r="BC7" s="99"/>
      <c r="BD7" s="97"/>
      <c r="BE7" s="100"/>
      <c r="BF7" s="96"/>
      <c r="BG7" s="97"/>
      <c r="BH7" s="98"/>
      <c r="BI7" s="99"/>
      <c r="BJ7" s="97"/>
      <c r="BK7" s="98"/>
      <c r="BL7" s="99"/>
      <c r="BM7" s="97"/>
      <c r="BN7" s="100"/>
      <c r="BO7" s="96"/>
      <c r="BP7" s="97"/>
      <c r="BQ7" s="98"/>
      <c r="BR7" s="99"/>
      <c r="BS7" s="97"/>
      <c r="BT7" s="98"/>
      <c r="BU7" s="99"/>
      <c r="BV7" s="97"/>
      <c r="BW7" s="100"/>
    </row>
    <row r="8" spans="1:75" ht="19.5" customHeight="1" thickBot="1" x14ac:dyDescent="0.3">
      <c r="B8" s="123"/>
      <c r="C8" s="108">
        <v>0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03"/>
      <c r="O8" s="104"/>
      <c r="P8" s="105"/>
      <c r="Q8" s="103"/>
      <c r="R8" s="104"/>
      <c r="S8" s="105"/>
      <c r="T8" s="103"/>
      <c r="U8" s="106"/>
      <c r="V8" s="102"/>
      <c r="W8" s="10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06"/>
      <c r="AW8" s="102"/>
      <c r="AX8" s="103"/>
      <c r="AY8" s="104"/>
      <c r="AZ8" s="105"/>
      <c r="BA8" s="103"/>
      <c r="BB8" s="104"/>
      <c r="BC8" s="105"/>
      <c r="BD8" s="103"/>
      <c r="BE8" s="106"/>
      <c r="BF8" s="102"/>
      <c r="BG8" s="10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</row>
    <row r="9" spans="1:75" ht="19.5" customHeight="1" x14ac:dyDescent="0.25">
      <c r="B9" s="122" t="str">
        <f>Donnees!$C$23</f>
        <v>Documentation</v>
      </c>
      <c r="C9" s="107">
        <v>0</v>
      </c>
      <c r="D9" s="96"/>
      <c r="E9" s="97"/>
      <c r="F9" s="98"/>
      <c r="G9" s="99"/>
      <c r="H9" s="97"/>
      <c r="I9" s="98"/>
      <c r="J9" s="99"/>
      <c r="K9" s="97"/>
      <c r="L9" s="100"/>
      <c r="M9" s="96"/>
      <c r="N9" s="97"/>
      <c r="O9" s="98"/>
      <c r="P9" s="99"/>
      <c r="Q9" s="97"/>
      <c r="R9" s="98"/>
      <c r="S9" s="99"/>
      <c r="T9" s="97"/>
      <c r="U9" s="100"/>
      <c r="V9" s="96"/>
      <c r="W9" s="97"/>
      <c r="X9" s="98"/>
      <c r="Y9" s="99"/>
      <c r="Z9" s="97"/>
      <c r="AA9" s="98"/>
      <c r="AB9" s="99"/>
      <c r="AC9" s="97"/>
      <c r="AD9" s="100"/>
      <c r="AE9" s="96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100"/>
      <c r="AW9" s="96"/>
      <c r="AX9" s="97"/>
      <c r="AY9" s="98"/>
      <c r="AZ9" s="99"/>
      <c r="BA9" s="97"/>
      <c r="BB9" s="98"/>
      <c r="BC9" s="99"/>
      <c r="BD9" s="97"/>
      <c r="BE9" s="100"/>
      <c r="BF9" s="96"/>
      <c r="BG9" s="97"/>
      <c r="BH9" s="98"/>
      <c r="BI9" s="99"/>
      <c r="BJ9" s="97"/>
      <c r="BK9" s="98"/>
      <c r="BL9" s="99"/>
      <c r="BM9" s="97"/>
      <c r="BN9" s="100"/>
      <c r="BO9" s="96"/>
      <c r="BP9" s="97"/>
      <c r="BQ9" s="98"/>
      <c r="BR9" s="99"/>
      <c r="BS9" s="97"/>
      <c r="BT9" s="98"/>
      <c r="BU9" s="99"/>
      <c r="BV9" s="97"/>
      <c r="BW9" s="100"/>
    </row>
    <row r="10" spans="1:75" ht="19.5" customHeight="1" thickBot="1" x14ac:dyDescent="0.3">
      <c r="B10" s="123"/>
      <c r="C10" s="108">
        <v>0</v>
      </c>
      <c r="D10" s="102"/>
      <c r="E10" s="103"/>
      <c r="F10" s="10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</row>
    <row r="11" spans="1:75" ht="19.5" customHeight="1" x14ac:dyDescent="0.25">
      <c r="B11" s="122" t="str">
        <f>Donnees!$C$24</f>
        <v>Programmation</v>
      </c>
      <c r="C11" s="107">
        <v>0</v>
      </c>
      <c r="D11" s="96"/>
      <c r="E11" s="97"/>
      <c r="F11" s="98"/>
      <c r="G11" s="99"/>
      <c r="H11" s="97"/>
      <c r="I11" s="98"/>
      <c r="J11" s="99"/>
      <c r="K11" s="97"/>
      <c r="L11" s="100"/>
      <c r="M11" s="96"/>
      <c r="N11" s="97"/>
      <c r="O11" s="98"/>
      <c r="P11" s="99"/>
      <c r="Q11" s="97"/>
      <c r="R11" s="98"/>
      <c r="S11" s="99"/>
      <c r="T11" s="97"/>
      <c r="U11" s="100"/>
      <c r="V11" s="96"/>
      <c r="W11" s="97"/>
      <c r="X11" s="98"/>
      <c r="Y11" s="99"/>
      <c r="Z11" s="97"/>
      <c r="AA11" s="98"/>
      <c r="AB11" s="99"/>
      <c r="AC11" s="97"/>
      <c r="AD11" s="100"/>
      <c r="AE11" s="96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100"/>
      <c r="AW11" s="96"/>
      <c r="AX11" s="97"/>
      <c r="AY11" s="98"/>
      <c r="AZ11" s="99"/>
      <c r="BA11" s="97"/>
      <c r="BB11" s="98"/>
      <c r="BC11" s="99"/>
      <c r="BD11" s="97"/>
      <c r="BE11" s="100"/>
      <c r="BF11" s="96"/>
      <c r="BG11" s="97"/>
      <c r="BH11" s="98"/>
      <c r="BI11" s="99"/>
      <c r="BJ11" s="97"/>
      <c r="BK11" s="98"/>
      <c r="BL11" s="99"/>
      <c r="BM11" s="97"/>
      <c r="BN11" s="100"/>
      <c r="BO11" s="96"/>
      <c r="BP11" s="97"/>
      <c r="BQ11" s="98"/>
      <c r="BR11" s="99"/>
      <c r="BS11" s="97"/>
      <c r="BT11" s="98"/>
      <c r="BU11" s="99"/>
      <c r="BV11" s="97"/>
      <c r="BW11" s="100"/>
    </row>
    <row r="12" spans="1:75" ht="19.5" customHeight="1" thickBot="1" x14ac:dyDescent="0.3">
      <c r="B12" s="123"/>
      <c r="C12" s="108">
        <v>0</v>
      </c>
      <c r="D12" s="102"/>
      <c r="E12" s="103"/>
      <c r="F12" s="104"/>
      <c r="G12" s="105"/>
      <c r="H12" s="103"/>
      <c r="I12" s="10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</row>
    <row r="13" spans="1:75" ht="19.5" customHeight="1" x14ac:dyDescent="0.25">
      <c r="B13" s="122" t="str">
        <f>Donnees!$C$25</f>
        <v>Débuggage</v>
      </c>
      <c r="C13" s="107">
        <v>0</v>
      </c>
      <c r="D13" s="96"/>
      <c r="E13" s="97"/>
      <c r="F13" s="98"/>
      <c r="G13" s="99"/>
      <c r="H13" s="97"/>
      <c r="I13" s="98"/>
      <c r="J13" s="99"/>
      <c r="K13" s="97"/>
      <c r="L13" s="100"/>
      <c r="M13" s="96"/>
      <c r="N13" s="97"/>
      <c r="O13" s="98"/>
      <c r="P13" s="99"/>
      <c r="Q13" s="97"/>
      <c r="R13" s="98"/>
      <c r="S13" s="99"/>
      <c r="T13" s="97"/>
      <c r="U13" s="100"/>
      <c r="V13" s="96"/>
      <c r="W13" s="97"/>
      <c r="X13" s="98"/>
      <c r="Y13" s="99"/>
      <c r="Z13" s="97"/>
      <c r="AA13" s="98"/>
      <c r="AB13" s="99"/>
      <c r="AC13" s="97"/>
      <c r="AD13" s="100"/>
      <c r="AE13" s="96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100"/>
      <c r="AW13" s="96"/>
      <c r="AX13" s="97"/>
      <c r="AY13" s="98"/>
      <c r="AZ13" s="99"/>
      <c r="BA13" s="97"/>
      <c r="BB13" s="98"/>
      <c r="BC13" s="99"/>
      <c r="BD13" s="97"/>
      <c r="BE13" s="100"/>
      <c r="BF13" s="96"/>
      <c r="BG13" s="97"/>
      <c r="BH13" s="98"/>
      <c r="BI13" s="99"/>
      <c r="BJ13" s="97"/>
      <c r="BK13" s="98"/>
      <c r="BL13" s="99"/>
      <c r="BM13" s="97"/>
      <c r="BN13" s="100"/>
      <c r="BO13" s="96"/>
      <c r="BP13" s="97"/>
      <c r="BQ13" s="98"/>
      <c r="BR13" s="99"/>
      <c r="BS13" s="97"/>
      <c r="BT13" s="98"/>
      <c r="BU13" s="99"/>
      <c r="BV13" s="97"/>
      <c r="BW13" s="100"/>
    </row>
    <row r="14" spans="1:75" ht="19.5" customHeight="1" x14ac:dyDescent="0.25">
      <c r="B14" s="123"/>
      <c r="C14" s="108">
        <v>0</v>
      </c>
      <c r="D14" s="102"/>
      <c r="E14" s="103"/>
      <c r="F14" s="104"/>
      <c r="G14" s="105"/>
      <c r="H14" s="103"/>
      <c r="I14" s="104"/>
      <c r="J14" s="105"/>
      <c r="K14" s="103"/>
      <c r="L14" s="10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</row>
    <row r="15" spans="1:75" ht="19.5" customHeight="1" x14ac:dyDescent="0.25">
      <c r="B15" s="109" t="s">
        <v>18</v>
      </c>
      <c r="C15" s="110">
        <f>SUM($C$3,$C$5,$C$7,$C$9,$C$11,$C$13)</f>
        <v>0</v>
      </c>
      <c r="D15" s="111"/>
      <c r="E15" s="112"/>
      <c r="F15" s="112"/>
      <c r="G15" s="112"/>
      <c r="H15" s="112"/>
      <c r="I15" s="112"/>
      <c r="J15" s="112"/>
      <c r="K15" s="112"/>
      <c r="L15" s="113"/>
      <c r="M15" s="111"/>
      <c r="N15" s="112"/>
      <c r="O15" s="112"/>
      <c r="P15" s="112"/>
      <c r="Q15" s="112"/>
      <c r="R15" s="112"/>
      <c r="S15" s="112"/>
      <c r="T15" s="112"/>
      <c r="U15" s="113"/>
      <c r="V15" s="111"/>
      <c r="W15" s="112"/>
      <c r="X15" s="112"/>
      <c r="Y15" s="112"/>
      <c r="Z15" s="112"/>
      <c r="AA15" s="112"/>
      <c r="AB15" s="112"/>
      <c r="AC15" s="112"/>
      <c r="AD15" s="113"/>
      <c r="AE15" s="111"/>
      <c r="AF15" s="112"/>
      <c r="AG15" s="112"/>
      <c r="AH15" s="112"/>
      <c r="AI15" s="112"/>
      <c r="AJ15" s="112"/>
      <c r="AK15" s="112"/>
      <c r="AL15" s="112"/>
      <c r="AM15" s="113"/>
      <c r="AN15" s="111"/>
      <c r="AO15" s="112"/>
      <c r="AP15" s="112"/>
      <c r="AQ15" s="112"/>
      <c r="AR15" s="112"/>
      <c r="AS15" s="112"/>
      <c r="AT15" s="112"/>
      <c r="AU15" s="112"/>
      <c r="AV15" s="113"/>
      <c r="AW15" s="111"/>
      <c r="AX15" s="112"/>
      <c r="AY15" s="112"/>
      <c r="AZ15" s="112"/>
      <c r="BA15" s="112"/>
      <c r="BB15" s="112"/>
      <c r="BC15" s="112"/>
      <c r="BD15" s="112"/>
      <c r="BE15" s="113"/>
      <c r="BF15" s="111"/>
      <c r="BG15" s="112"/>
      <c r="BH15" s="112"/>
      <c r="BI15" s="112"/>
      <c r="BJ15" s="112"/>
      <c r="BK15" s="112"/>
      <c r="BL15" s="112"/>
      <c r="BM15" s="112"/>
      <c r="BN15" s="113"/>
      <c r="BO15" s="111"/>
      <c r="BP15" s="112"/>
      <c r="BQ15" s="112"/>
      <c r="BR15" s="112"/>
      <c r="BS15" s="112"/>
      <c r="BT15" s="112"/>
      <c r="BU15" s="112"/>
      <c r="BV15" s="112"/>
      <c r="BW15" s="113"/>
    </row>
    <row r="16" spans="1:75" ht="19.5" customHeight="1" thickBot="1" x14ac:dyDescent="0.3">
      <c r="A16" s="114"/>
      <c r="B16" s="115" t="s">
        <v>19</v>
      </c>
      <c r="C16" s="116">
        <f>SUM($C$4,$C$6,$C$8,$C$10,$C$12,$C$14)</f>
        <v>0</v>
      </c>
      <c r="D16" s="117"/>
      <c r="E16" s="118"/>
      <c r="F16" s="118"/>
      <c r="G16" s="118"/>
      <c r="H16" s="118"/>
      <c r="I16" s="118"/>
      <c r="J16" s="118"/>
      <c r="K16" s="118"/>
      <c r="L16" s="119"/>
      <c r="M16" s="117"/>
      <c r="N16" s="118"/>
      <c r="O16" s="118"/>
      <c r="P16" s="118"/>
      <c r="Q16" s="118"/>
      <c r="R16" s="118"/>
      <c r="S16" s="118"/>
      <c r="T16" s="118"/>
      <c r="U16" s="119"/>
      <c r="V16" s="117"/>
      <c r="W16" s="118"/>
      <c r="X16" s="118"/>
      <c r="Y16" s="118"/>
      <c r="Z16" s="118"/>
      <c r="AA16" s="118"/>
      <c r="AB16" s="118"/>
      <c r="AC16" s="118"/>
      <c r="AD16" s="119"/>
      <c r="AE16" s="117"/>
      <c r="AF16" s="118"/>
      <c r="AG16" s="118"/>
      <c r="AH16" s="118"/>
      <c r="AI16" s="118"/>
      <c r="AJ16" s="118"/>
      <c r="AK16" s="118"/>
      <c r="AL16" s="118"/>
      <c r="AM16" s="119"/>
      <c r="AN16" s="117"/>
      <c r="AO16" s="118"/>
      <c r="AP16" s="118"/>
      <c r="AQ16" s="118"/>
      <c r="AR16" s="118"/>
      <c r="AS16" s="118"/>
      <c r="AT16" s="118"/>
      <c r="AU16" s="118"/>
      <c r="AV16" s="119"/>
      <c r="AW16" s="117"/>
      <c r="AX16" s="118"/>
      <c r="AY16" s="118"/>
      <c r="AZ16" s="118"/>
      <c r="BA16" s="118"/>
      <c r="BB16" s="118"/>
      <c r="BC16" s="118"/>
      <c r="BD16" s="118"/>
      <c r="BE16" s="119"/>
      <c r="BF16" s="117"/>
      <c r="BG16" s="118"/>
      <c r="BH16" s="118"/>
      <c r="BI16" s="118"/>
      <c r="BJ16" s="118"/>
      <c r="BK16" s="118"/>
      <c r="BL16" s="118"/>
      <c r="BM16" s="118"/>
      <c r="BN16" s="119"/>
      <c r="BO16" s="117"/>
      <c r="BP16" s="118"/>
      <c r="BQ16" s="118"/>
      <c r="BR16" s="118"/>
      <c r="BS16" s="118"/>
      <c r="BT16" s="118"/>
      <c r="BU16" s="118"/>
      <c r="BV16" s="118"/>
      <c r="BW16" s="119"/>
    </row>
  </sheetData>
  <sheetProtection sheet="1" objects="1" scenarios="1" insertRows="0" selectLockedCells="1"/>
  <mergeCells count="14">
    <mergeCell ref="BF2:BN2"/>
    <mergeCell ref="BO2:BW2"/>
    <mergeCell ref="D2:L2"/>
    <mergeCell ref="M2:U2"/>
    <mergeCell ref="V2:AD2"/>
    <mergeCell ref="AE2:AM2"/>
    <mergeCell ref="AN2:AV2"/>
    <mergeCell ref="AW2:BE2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9005099C-6E7D-4CBE-8AF8-02F2979A1EC2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0" t="s">
        <v>15</v>
      </c>
      <c r="C3" s="16">
        <v>0</v>
      </c>
    </row>
    <row r="4" spans="1:4" ht="19.5" customHeight="1" x14ac:dyDescent="0.25">
      <c r="A4" s="19"/>
      <c r="B4" s="13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18</v>
      </c>
      <c r="C3" s="27">
        <v>0</v>
      </c>
    </row>
    <row r="4" spans="2:3" ht="18.75" thickBot="1" x14ac:dyDescent="0.3">
      <c r="B4" s="26" t="s">
        <v>19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/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D3159-D0F9-44D2-AED9-843B58335210}">
  <sheetPr codeName="Feuil9"/>
  <dimension ref="A1:H153"/>
  <sheetViews>
    <sheetView tabSelected="1" workbookViewId="0">
      <selection activeCell="C29" sqref="C2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>
        <f>Donnees!$C$9</f>
        <v>46036</v>
      </c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 t="s">
        <v>30</v>
      </c>
      <c r="B3" s="4">
        <v>4</v>
      </c>
      <c r="C3" s="88" t="s">
        <v>44</v>
      </c>
      <c r="D3" s="9"/>
    </row>
    <row r="4" spans="1:4" s="52" customFormat="1" x14ac:dyDescent="0.25">
      <c r="A4" s="1" t="s">
        <v>42</v>
      </c>
      <c r="B4" s="2">
        <v>2</v>
      </c>
      <c r="C4" s="89" t="s">
        <v>45</v>
      </c>
      <c r="D4" s="10"/>
    </row>
    <row r="5" spans="1:4" s="52" customFormat="1" x14ac:dyDescent="0.25">
      <c r="A5" s="1" t="s">
        <v>28</v>
      </c>
      <c r="B5" s="2">
        <v>2</v>
      </c>
      <c r="C5" s="89" t="s">
        <v>46</v>
      </c>
      <c r="D5" s="10"/>
    </row>
    <row r="6" spans="1:4" s="52" customFormat="1" x14ac:dyDescent="0.25">
      <c r="A6" s="1" t="s">
        <v>31</v>
      </c>
      <c r="B6" s="2">
        <v>4</v>
      </c>
      <c r="C6" s="89" t="s">
        <v>47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12</v>
      </c>
      <c r="C18" s="87" t="s">
        <v>43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20</v>
      </c>
      <c r="B20" s="43">
        <v>2</v>
      </c>
      <c r="C20" s="44" t="s">
        <v>26</v>
      </c>
      <c r="D20" s="53">
        <f>$D$1+7</f>
        <v>46043</v>
      </c>
    </row>
    <row r="21" spans="1:8" ht="27.75" thickBot="1" x14ac:dyDescent="0.3">
      <c r="A21" s="45" t="s">
        <v>21</v>
      </c>
      <c r="B21" s="46" t="s">
        <v>22</v>
      </c>
      <c r="C21" s="45" t="s">
        <v>23</v>
      </c>
      <c r="D21" s="45" t="s">
        <v>24</v>
      </c>
    </row>
    <row r="22" spans="1:8" x14ac:dyDescent="0.25">
      <c r="A22" s="5" t="s">
        <v>42</v>
      </c>
      <c r="B22" s="4">
        <v>4</v>
      </c>
      <c r="C22" s="88" t="s">
        <v>48</v>
      </c>
      <c r="D22" s="9"/>
    </row>
    <row r="23" spans="1:8" x14ac:dyDescent="0.25">
      <c r="A23" s="1" t="s">
        <v>31</v>
      </c>
      <c r="B23" s="2">
        <v>5</v>
      </c>
      <c r="C23" s="89" t="s">
        <v>49</v>
      </c>
      <c r="D23" s="10"/>
    </row>
    <row r="24" spans="1:8" x14ac:dyDescent="0.25">
      <c r="A24" s="132" t="s">
        <v>31</v>
      </c>
      <c r="B24" s="2">
        <v>3</v>
      </c>
      <c r="C24" s="89" t="s">
        <v>50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25</v>
      </c>
      <c r="B37" s="47">
        <f>SUM(B22:B36)</f>
        <v>12</v>
      </c>
      <c r="C37" s="87" t="s">
        <v>43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20</v>
      </c>
      <c r="B39" s="43">
        <v>3</v>
      </c>
      <c r="C39" s="44" t="s">
        <v>26</v>
      </c>
      <c r="D39" s="53">
        <f>$D$20+7</f>
        <v>46050</v>
      </c>
    </row>
    <row r="40" spans="1:8" ht="27.75" thickBot="1" x14ac:dyDescent="0.3">
      <c r="A40" s="45" t="s">
        <v>21</v>
      </c>
      <c r="B40" s="46" t="s">
        <v>22</v>
      </c>
      <c r="C40" s="45" t="s">
        <v>23</v>
      </c>
      <c r="D40" s="45" t="s">
        <v>24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25</v>
      </c>
      <c r="B56" s="47">
        <f>SUM(B41:B55)</f>
        <v>0</v>
      </c>
      <c r="C56" s="87" t="s">
        <v>43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20</v>
      </c>
      <c r="B58" s="43">
        <v>4</v>
      </c>
      <c r="C58" s="44" t="s">
        <v>26</v>
      </c>
      <c r="D58" s="53">
        <f>$D$39+7</f>
        <v>46057</v>
      </c>
    </row>
    <row r="59" spans="1:4" ht="27.75" thickBot="1" x14ac:dyDescent="0.3">
      <c r="A59" s="45" t="s">
        <v>21</v>
      </c>
      <c r="B59" s="46" t="s">
        <v>22</v>
      </c>
      <c r="C59" s="45" t="s">
        <v>23</v>
      </c>
      <c r="D59" s="45" t="s">
        <v>24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25</v>
      </c>
      <c r="B75" s="47">
        <f>SUM(B60:B74)</f>
        <v>0</v>
      </c>
      <c r="C75" s="87" t="s">
        <v>43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20</v>
      </c>
      <c r="B77" s="43">
        <v>5</v>
      </c>
      <c r="C77" s="44" t="s">
        <v>26</v>
      </c>
      <c r="D77" s="53">
        <f>$D$58+7</f>
        <v>46064</v>
      </c>
    </row>
    <row r="78" spans="1:4" ht="27.75" thickBot="1" x14ac:dyDescent="0.3">
      <c r="A78" s="45" t="s">
        <v>21</v>
      </c>
      <c r="B78" s="46" t="s">
        <v>22</v>
      </c>
      <c r="C78" s="45" t="s">
        <v>23</v>
      </c>
      <c r="D78" s="45" t="s">
        <v>24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25</v>
      </c>
      <c r="B94" s="47">
        <f>SUM(B79:B93)</f>
        <v>0</v>
      </c>
      <c r="C94" s="87" t="s">
        <v>43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20</v>
      </c>
      <c r="B96" s="43">
        <v>6</v>
      </c>
      <c r="C96" s="44" t="s">
        <v>26</v>
      </c>
      <c r="D96" s="53">
        <f>$D$77+7</f>
        <v>46071</v>
      </c>
    </row>
    <row r="97" spans="1:4" ht="27.75" thickBot="1" x14ac:dyDescent="0.3">
      <c r="A97" s="45" t="s">
        <v>21</v>
      </c>
      <c r="B97" s="46" t="s">
        <v>22</v>
      </c>
      <c r="C97" s="45" t="s">
        <v>23</v>
      </c>
      <c r="D97" s="45" t="s">
        <v>24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25</v>
      </c>
      <c r="B113" s="47">
        <f>SUM(B98:B112)</f>
        <v>0</v>
      </c>
      <c r="C113" s="87" t="s">
        <v>43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20</v>
      </c>
      <c r="B115" s="43">
        <v>7</v>
      </c>
      <c r="C115" s="44" t="s">
        <v>26</v>
      </c>
      <c r="D115" s="53">
        <f>$D$96+7</f>
        <v>46078</v>
      </c>
    </row>
    <row r="116" spans="1:4" ht="27.75" thickBot="1" x14ac:dyDescent="0.3">
      <c r="A116" s="45" t="s">
        <v>21</v>
      </c>
      <c r="B116" s="46" t="s">
        <v>22</v>
      </c>
      <c r="C116" s="45" t="s">
        <v>23</v>
      </c>
      <c r="D116" s="45" t="s">
        <v>24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25</v>
      </c>
      <c r="B132" s="47">
        <f>SUM(B117:B131)</f>
        <v>0</v>
      </c>
      <c r="C132" s="87" t="s">
        <v>43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20</v>
      </c>
      <c r="B134" s="43">
        <v>8</v>
      </c>
      <c r="C134" s="44" t="s">
        <v>26</v>
      </c>
      <c r="D134" s="53">
        <f>$D$115+7</f>
        <v>46085</v>
      </c>
    </row>
    <row r="135" spans="1:4" ht="27.75" thickBot="1" x14ac:dyDescent="0.3">
      <c r="A135" s="45" t="s">
        <v>21</v>
      </c>
      <c r="B135" s="46" t="s">
        <v>22</v>
      </c>
      <c r="C135" s="45" t="s">
        <v>23</v>
      </c>
      <c r="D135" s="45" t="s">
        <v>24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25</v>
      </c>
      <c r="B151" s="47">
        <f>SUM(B136:B150)</f>
        <v>0</v>
      </c>
      <c r="C151" s="87" t="s">
        <v>43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6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6C5DD68-8FDD-4B9E-AA96-B0B47DB578B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A566A4B5-D528-4CEB-804D-CF3D4DB8340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3D93174-DC76-4D8F-A54C-607F8440F64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28449E14-5BA0-4F43-9031-FE4BB5B35A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6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246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356f79f-5386-4bda-9d92-82d8bd7b074e" xsi:nil="true"/>
    <lcf76f155ced4ddcb4097134ff3c332f xmlns="3eb094ff-ec8d-44d8-be06-94ad3ec8832a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C931FEC57CD24D841BB655C8BA0DFF" ma:contentTypeVersion="11" ma:contentTypeDescription="Crée un document." ma:contentTypeScope="" ma:versionID="5adde4209c5ea3e6f9eb5143570cd275">
  <xsd:schema xmlns:xsd="http://www.w3.org/2001/XMLSchema" xmlns:xs="http://www.w3.org/2001/XMLSchema" xmlns:p="http://schemas.microsoft.com/office/2006/metadata/properties" xmlns:ns2="3eb094ff-ec8d-44d8-be06-94ad3ec8832a" xmlns:ns3="4356f79f-5386-4bda-9d92-82d8bd7b074e" targetNamespace="http://schemas.microsoft.com/office/2006/metadata/properties" ma:root="true" ma:fieldsID="22fa6435dd6f2ca58bfcccb54a16a6ed" ns2:_="" ns3:_="">
    <xsd:import namespace="3eb094ff-ec8d-44d8-be06-94ad3ec8832a"/>
    <xsd:import namespace="4356f79f-5386-4bda-9d92-82d8bd7b07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b094ff-ec8d-44d8-be06-94ad3ec883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56f79f-5386-4bda-9d92-82d8bd7b074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8a02a98-c896-452a-b379-fa0305ae7fcb}" ma:internalName="TaxCatchAll" ma:showField="CatchAllData" ma:web="4356f79f-5386-4bda-9d92-82d8bd7b0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3eb094ff-ec8d-44d8-be06-94ad3ec8832a"/>
    <ds:schemaRef ds:uri="http://www.w3.org/XML/1998/namespace"/>
    <ds:schemaRef ds:uri="4356f79f-5386-4bda-9d92-82d8bd7b074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60C08C0-25E4-43E4-9874-B5B9591A97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b094ff-ec8d-44d8-be06-94ad3ec8832a"/>
    <ds:schemaRef ds:uri="4356f79f-5386-4bda-9d92-82d8bd7b07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Kentin Fankhauser</dc:creator>
  <cp:keywords/>
  <dc:description/>
  <cp:lastModifiedBy>Kentin Fankhauser</cp:lastModifiedBy>
  <cp:revision/>
  <dcterms:created xsi:type="dcterms:W3CDTF">1996-10-21T11:03:58Z</dcterms:created>
  <dcterms:modified xsi:type="dcterms:W3CDTF">2026-01-21T15:33:00Z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0x01010051C931FEC57CD24D841BB655C8BA0DFF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