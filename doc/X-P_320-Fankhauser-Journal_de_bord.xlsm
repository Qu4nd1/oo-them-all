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28" codeName="{372AB895-14C1-FC20-EB20-F1B4BCFD95A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320\oo-them-all\doc\"/>
    </mc:Choice>
  </mc:AlternateContent>
  <xr:revisionPtr revIDLastSave="0" documentId="13_ncr:1_{FA8EA99C-94E0-43D7-8742-9724EBD0AED2}" xr6:coauthVersionLast="47" xr6:coauthVersionMax="47" xr10:uidLastSave="{00000000-0000-0000-0000-000000000000}"/>
  <bookViews>
    <workbookView xWindow="-120" yWindow="-120" windowWidth="29040" windowHeight="15840" tabRatio="593" activeTab="6" xr2:uid="{00000000-000D-0000-FFFF-FFFF00000000}"/>
  </bookViews>
  <sheets>
    <sheet name="Donnees" sheetId="7" r:id="rId1"/>
    <sheet name="Diagramme" sheetId="171" r:id="rId2"/>
    <sheet name="DiagramHeader" sheetId="10" state="hidden" r:id="rId3"/>
    <sheet name="DiagramFooter" sheetId="130" state="hidden" r:id="rId4"/>
    <sheet name="PlanificationWeek" sheetId="11" state="hidden" r:id="rId5"/>
    <sheet name="achievementWeek" sheetId="154" state="hidden" r:id="rId6"/>
    <sheet name="JNLTRAV" sheetId="174" r:id="rId7"/>
  </sheets>
  <definedNames>
    <definedName name="datDateBegin">Donnees!$C$9</definedName>
    <definedName name="ListTasks">Diagramme!$B$3:$B$14</definedName>
    <definedName name="lstTasks">Donnees!$C$20:$C$45</definedName>
    <definedName name="NbLessons">Diagramme!$C$3:$C$14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5">achievementWeek!$A$1:$D$19</definedName>
    <definedName name="objRealizedWeek" localSheetId="6">JNLTRAV!$A$1:$D$19</definedName>
    <definedName name="_xlnm.Print_Area" localSheetId="0">Donnees!$A$1:$G$47</definedName>
  </definedNames>
  <calcPr calcId="191028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4" i="174" l="1"/>
  <c r="D115" i="174"/>
  <c r="D96" i="174"/>
  <c r="D77" i="174"/>
  <c r="D58" i="174"/>
  <c r="D39" i="174"/>
  <c r="D20" i="174"/>
  <c r="D1" i="174"/>
  <c r="B151" i="174"/>
  <c r="B132" i="174"/>
  <c r="B113" i="174"/>
  <c r="B94" i="174"/>
  <c r="B75" i="174"/>
  <c r="B56" i="174"/>
  <c r="B37" i="174"/>
  <c r="B18" i="174"/>
  <c r="B13" i="171"/>
  <c r="B11" i="171"/>
  <c r="B9" i="171"/>
  <c r="B7" i="171"/>
  <c r="B5" i="171"/>
  <c r="C16" i="171"/>
  <c r="C15" i="171"/>
  <c r="B18" i="154"/>
  <c r="B13" i="11" l="1"/>
</calcChain>
</file>

<file path=xl/sharedStrings.xml><?xml version="1.0" encoding="utf-8"?>
<sst xmlns="http://schemas.openxmlformats.org/spreadsheetml/2006/main" count="165" uniqueCount="68">
  <si>
    <t>Module :</t>
  </si>
  <si>
    <t>Prénom - nom :</t>
  </si>
  <si>
    <t>Kentin - Fankhauser</t>
  </si>
  <si>
    <t>Classe :</t>
  </si>
  <si>
    <t>FID1</t>
  </si>
  <si>
    <t>Lieu :</t>
  </si>
  <si>
    <t>ETML   /  Vennes  /  1004 LAUSANNE</t>
  </si>
  <si>
    <t>Date Début :</t>
  </si>
  <si>
    <t>Date Fin:</t>
  </si>
  <si>
    <t>Nombre de semaines:</t>
  </si>
  <si>
    <t>Nombre de Périodes/Semaine :</t>
  </si>
  <si>
    <t>Nombre de 1/4 heure/Période:</t>
  </si>
  <si>
    <t xml:space="preserve"> </t>
  </si>
  <si>
    <t>Liste des tâches</t>
  </si>
  <si>
    <t>Tâche obligatoire:</t>
  </si>
  <si>
    <t>Absence - Imprévus</t>
  </si>
  <si>
    <t>Tâches - objectifs</t>
  </si>
  <si>
    <t>Nb 1/4 heure</t>
  </si>
  <si>
    <t>Total planifié</t>
  </si>
  <si>
    <t>Total réalisé</t>
  </si>
  <si>
    <t>Semaine</t>
  </si>
  <si>
    <t>Tâche</t>
  </si>
  <si>
    <t>Durée
[1/4 h.]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</si>
  <si>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</si>
  <si>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</si>
  <si>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Total semaine</t>
  </si>
  <si>
    <t>Début:</t>
  </si>
  <si>
    <t>STOP</t>
  </si>
  <si>
    <t>Ecriture du rapport</t>
  </si>
  <si>
    <t>Choix du programme</t>
  </si>
  <si>
    <t>Documentation</t>
  </si>
  <si>
    <t>Programmation</t>
  </si>
  <si>
    <t>Débuggage</t>
  </si>
  <si>
    <t>S 1</t>
  </si>
  <si>
    <t>S 2</t>
  </si>
  <si>
    <t>S 3</t>
  </si>
  <si>
    <t>S 4</t>
  </si>
  <si>
    <t>S 5</t>
  </si>
  <si>
    <t>S 6</t>
  </si>
  <si>
    <t>S 7</t>
  </si>
  <si>
    <t>S 8</t>
  </si>
  <si>
    <t>P_320</t>
  </si>
  <si>
    <t>Préparation</t>
  </si>
  <si>
    <t>Max. 12</t>
  </si>
  <si>
    <t xml:space="preserve">Introduction au projet </t>
  </si>
  <si>
    <t>Mise en place du repository Github</t>
  </si>
  <si>
    <t xml:space="preserve">Rédaction de l'introduction et brève présentation du choix fait </t>
  </si>
  <si>
    <t>Programmation pour le menu d'affichage</t>
  </si>
  <si>
    <t xml:space="preserve">Présentation faite par le prof </t>
  </si>
  <si>
    <t>Programmation de la cerification de mode de passe</t>
  </si>
  <si>
    <t>Programmation du début du menu de choix</t>
  </si>
  <si>
    <t xml:space="preserve">Ajout de la fonction de retrait d'argent </t>
  </si>
  <si>
    <t>Ajout de la fonction pour visualiser un reçu des transactions</t>
  </si>
  <si>
    <t>Fixing bug d'affichage des intéractions lors de l'input du mot de passe</t>
  </si>
  <si>
    <t>Structure update to namespaces and classes</t>
  </si>
  <si>
    <t>Commencement d'implémentation de la fonctionnalité de dépôt d'argent</t>
  </si>
  <si>
    <t>Simplification de code par la création d'une méthode qui permet l'effacement sur la console d'une longueur défini.</t>
  </si>
  <si>
    <t>Correction d'une erreur d'input qui faisait crash le programme si l'utilisteur rentrais une lettre pour un prix custom de retrait ou d'ajout</t>
  </si>
  <si>
    <t>Relecture de code et suppression de ligne inutile qui faisait des etapes a double ou faisait rien</t>
  </si>
  <si>
    <t>Création de la branche v3-poo</t>
  </si>
  <si>
    <t>Début de reflexion pour savoir quoi changer ou non</t>
  </si>
  <si>
    <t>Vacances</t>
  </si>
  <si>
    <t>Parameters Suppression &amp;  and Using Suppression</t>
  </si>
  <si>
    <t>Deleted lines that were comments and Corrected variable names</t>
  </si>
  <si>
    <t>Warning Correction (Corrected the null variable warnings)</t>
  </si>
  <si>
    <t>Variable definition complexity simplification</t>
  </si>
  <si>
    <t>Journal de bord</t>
  </si>
  <si>
    <t>Updated the work journal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</si>
</sst>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21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  <font>
      <sz val="18"/>
      <name val="Century Gothic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</fills>
  <borders count="4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36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16" fillId="9" borderId="0" xfId="0" applyFont="1" applyFill="1"/>
    <xf numFmtId="0" fontId="9" fillId="12" borderId="13" xfId="0" applyFont="1" applyFill="1" applyBorder="1" applyAlignment="1">
      <alignment horizontal="left" vertical="top" wrapText="1"/>
    </xf>
    <xf numFmtId="0" fontId="0" fillId="0" borderId="1" xfId="0" applyFont="1" applyBorder="1" applyAlignment="1" applyProtection="1">
      <alignment horizontal="left" vertical="top" wrapText="1"/>
      <protection locked="0"/>
    </xf>
    <xf numFmtId="0" fontId="0" fillId="0" borderId="2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3" fillId="6" borderId="15" xfId="0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1" fontId="2" fillId="7" borderId="28" xfId="0" applyNumberFormat="1" applyFont="1" applyFill="1" applyBorder="1" applyAlignment="1" applyProtection="1">
      <alignment horizontal="center" vertical="center"/>
    </xf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8" fillId="14" borderId="29" xfId="0" applyFont="1" applyFill="1" applyBorder="1" applyAlignment="1" applyProtection="1">
      <alignment horizontal="center" vertical="center"/>
    </xf>
    <xf numFmtId="0" fontId="18" fillId="14" borderId="28" xfId="0" applyFont="1" applyFill="1" applyBorder="1" applyAlignment="1" applyProtection="1">
      <alignment horizontal="center" vertical="center"/>
    </xf>
    <xf numFmtId="0" fontId="3" fillId="10" borderId="30" xfId="0" applyFont="1" applyFill="1" applyBorder="1" applyAlignment="1" applyProtection="1">
      <alignment horizontal="right" vertical="center" wrapText="1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4" fillId="9" borderId="0" xfId="0" applyFont="1" applyFill="1" applyProtection="1"/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1" fontId="17" fillId="6" borderId="35" xfId="0" applyNumberFormat="1" applyFont="1" applyFill="1" applyBorder="1" applyAlignment="1" applyProtection="1">
      <alignment vertical="center"/>
    </xf>
    <xf numFmtId="0" fontId="17" fillId="6" borderId="19" xfId="0" applyFont="1" applyFill="1" applyBorder="1" applyAlignment="1" applyProtection="1">
      <alignment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Alignment="1" applyProtection="1"/>
    <xf numFmtId="0" fontId="17" fillId="6" borderId="35" xfId="0" applyFont="1" applyFill="1" applyBorder="1" applyAlignment="1" applyProtection="1">
      <alignment vertical="center"/>
    </xf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 applyAlignment="1"/>
    <xf numFmtId="0" fontId="8" fillId="0" borderId="47" xfId="0" applyFont="1" applyBorder="1" applyAlignment="1" applyProtection="1">
      <alignment horizontal="center" vertical="center" textRotation="45" wrapText="1"/>
      <protection locked="0"/>
    </xf>
    <xf numFmtId="0" fontId="8" fillId="0" borderId="32" xfId="0" applyFont="1" applyBorder="1" applyAlignment="1" applyProtection="1">
      <alignment horizontal="center" vertical="center" textRotation="45" wrapText="1"/>
      <protection locked="0"/>
    </xf>
    <xf numFmtId="0" fontId="20" fillId="0" borderId="20" xfId="0" applyFont="1" applyBorder="1" applyAlignment="1" applyProtection="1">
      <alignment horizontal="center" vertical="center" textRotation="45" wrapText="1"/>
      <protection locked="0"/>
    </xf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4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5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62465" name="btnImportRealisation" hidden="1">
              <a:extLst>
                <a:ext uri="{63B3BB69-23CF-44E3-9099-C40C66FF867C}">
                  <a14:compatExt spid="_x0000_s62465"/>
                </a:ext>
                <a:ext uri="{FF2B5EF4-FFF2-40B4-BE49-F238E27FC236}">
                  <a16:creationId xmlns:a16="http://schemas.microsoft.com/office/drawing/2014/main" id="{00000000-0008-0000-0600-000001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view="pageBreakPreview" topLeftCell="A5" zoomScale="85" zoomScaleNormal="100" zoomScaleSheetLayoutView="85" workbookViewId="0">
      <selection activeCell="E28" sqref="E28"/>
    </sheetView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0</v>
      </c>
      <c r="C3" s="62" t="s">
        <v>41</v>
      </c>
      <c r="D3" s="59"/>
      <c r="E3" s="59"/>
      <c r="F3" s="59"/>
      <c r="G3" s="60"/>
    </row>
    <row r="4" spans="1:7" ht="20.25" x14ac:dyDescent="0.25">
      <c r="A4" s="58"/>
      <c r="B4" s="63" t="s">
        <v>1</v>
      </c>
      <c r="C4" s="64" t="s">
        <v>2</v>
      </c>
      <c r="D4" s="59"/>
      <c r="E4" s="59"/>
      <c r="F4" s="59"/>
      <c r="G4" s="60"/>
    </row>
    <row r="5" spans="1:7" ht="20.25" x14ac:dyDescent="0.25">
      <c r="A5" s="58"/>
      <c r="B5" s="63" t="s">
        <v>3</v>
      </c>
      <c r="C5" s="64" t="s">
        <v>4</v>
      </c>
      <c r="D5" s="59"/>
      <c r="E5" s="59"/>
      <c r="F5" s="59"/>
      <c r="G5" s="60"/>
    </row>
    <row r="6" spans="1:7" ht="21" thickBot="1" x14ac:dyDescent="0.3">
      <c r="A6" s="58"/>
      <c r="B6" s="65" t="s">
        <v>5</v>
      </c>
      <c r="C6" s="66" t="s">
        <v>6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7</v>
      </c>
      <c r="C9" s="67">
        <v>46036</v>
      </c>
      <c r="D9" s="59"/>
      <c r="E9" s="59"/>
      <c r="F9" s="59"/>
      <c r="G9" s="60"/>
    </row>
    <row r="10" spans="1:7" ht="20.25" x14ac:dyDescent="0.25">
      <c r="A10" s="58"/>
      <c r="B10" s="68" t="s">
        <v>8</v>
      </c>
      <c r="C10" s="69">
        <v>46092</v>
      </c>
      <c r="D10" s="59"/>
      <c r="E10" s="59"/>
      <c r="F10" s="59"/>
      <c r="G10" s="60"/>
    </row>
    <row r="11" spans="1:7" ht="20.25" x14ac:dyDescent="0.25">
      <c r="A11" s="58"/>
      <c r="B11" s="68" t="s">
        <v>9</v>
      </c>
      <c r="C11" s="70">
        <v>8</v>
      </c>
      <c r="D11" s="59"/>
      <c r="E11" s="59"/>
      <c r="F11" s="59"/>
      <c r="G11" s="60"/>
    </row>
    <row r="12" spans="1:7" ht="20.25" x14ac:dyDescent="0.25">
      <c r="A12" s="58"/>
      <c r="B12" s="63" t="s">
        <v>10</v>
      </c>
      <c r="C12" s="71">
        <v>4</v>
      </c>
      <c r="D12" s="59"/>
      <c r="E12" s="59"/>
      <c r="F12" s="59"/>
      <c r="G12" s="60"/>
    </row>
    <row r="13" spans="1:7" ht="20.25" x14ac:dyDescent="0.25">
      <c r="A13" s="58"/>
      <c r="B13" s="63" t="s">
        <v>11</v>
      </c>
      <c r="C13" s="71">
        <v>3</v>
      </c>
      <c r="D13" s="59"/>
      <c r="E13" s="59"/>
      <c r="F13" s="59"/>
      <c r="G13" s="60"/>
    </row>
    <row r="14" spans="1:7" ht="20.25" thickBot="1" x14ac:dyDescent="0.3">
      <c r="A14" s="58"/>
      <c r="B14" s="72"/>
      <c r="C14" s="73" t="s">
        <v>12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4"/>
      <c r="B16" s="75"/>
      <c r="C16" s="75"/>
      <c r="D16" s="75"/>
      <c r="E16" s="75"/>
      <c r="F16" s="75"/>
      <c r="G16" s="76"/>
    </row>
    <row r="17" spans="1:7" x14ac:dyDescent="0.25">
      <c r="A17" s="77"/>
      <c r="B17" s="55"/>
      <c r="C17" s="55"/>
      <c r="D17" s="55"/>
      <c r="E17" s="55"/>
      <c r="F17" s="55"/>
      <c r="G17" s="56"/>
    </row>
    <row r="18" spans="1:7" ht="14.25" thickBot="1" x14ac:dyDescent="0.3">
      <c r="A18" s="78"/>
      <c r="B18" s="59"/>
      <c r="C18" s="59"/>
      <c r="D18" s="59"/>
      <c r="E18" s="59"/>
      <c r="F18" s="59"/>
      <c r="G18" s="60"/>
    </row>
    <row r="19" spans="1:7" ht="21" thickBot="1" x14ac:dyDescent="0.3">
      <c r="A19" s="78"/>
      <c r="B19" s="121" t="s">
        <v>13</v>
      </c>
      <c r="C19" s="122"/>
      <c r="D19" s="59"/>
      <c r="E19" s="59"/>
      <c r="F19" s="59"/>
      <c r="G19" s="60"/>
    </row>
    <row r="20" spans="1:7" ht="20.25" x14ac:dyDescent="0.25">
      <c r="A20" s="78"/>
      <c r="B20" s="79" t="s">
        <v>14</v>
      </c>
      <c r="C20" s="80" t="s">
        <v>15</v>
      </c>
      <c r="D20" s="59"/>
      <c r="E20" s="59"/>
      <c r="F20" s="59"/>
      <c r="G20" s="60"/>
    </row>
    <row r="21" spans="1:7" ht="20.25" x14ac:dyDescent="0.25">
      <c r="A21" s="78"/>
      <c r="B21" s="79">
        <v>1</v>
      </c>
      <c r="C21" s="69" t="s">
        <v>28</v>
      </c>
      <c r="D21" s="59"/>
      <c r="E21" s="59"/>
      <c r="F21" s="59"/>
      <c r="G21" s="60"/>
    </row>
    <row r="22" spans="1:7" ht="20.25" x14ac:dyDescent="0.25">
      <c r="A22" s="78"/>
      <c r="B22" s="79">
        <v>2</v>
      </c>
      <c r="C22" s="70" t="s">
        <v>29</v>
      </c>
      <c r="D22" s="59"/>
      <c r="E22" s="59"/>
      <c r="F22" s="59"/>
      <c r="G22" s="60"/>
    </row>
    <row r="23" spans="1:7" ht="20.25" x14ac:dyDescent="0.25">
      <c r="A23" s="78"/>
      <c r="B23" s="81">
        <v>3</v>
      </c>
      <c r="C23" s="70" t="s">
        <v>30</v>
      </c>
      <c r="D23" s="59"/>
      <c r="E23" s="59"/>
      <c r="F23" s="59"/>
      <c r="G23" s="60"/>
    </row>
    <row r="24" spans="1:7" ht="20.25" x14ac:dyDescent="0.25">
      <c r="A24" s="78"/>
      <c r="B24" s="79">
        <v>4</v>
      </c>
      <c r="C24" s="70" t="s">
        <v>31</v>
      </c>
      <c r="D24" s="59"/>
      <c r="E24" s="59"/>
      <c r="F24" s="59"/>
      <c r="G24" s="60"/>
    </row>
    <row r="25" spans="1:7" ht="20.25" x14ac:dyDescent="0.25">
      <c r="A25" s="78"/>
      <c r="B25" s="79">
        <v>5</v>
      </c>
      <c r="C25" s="70" t="s">
        <v>32</v>
      </c>
      <c r="D25" s="59"/>
      <c r="E25" s="59"/>
      <c r="F25" s="59"/>
      <c r="G25" s="60"/>
    </row>
    <row r="26" spans="1:7" ht="20.25" x14ac:dyDescent="0.25">
      <c r="A26" s="78"/>
      <c r="B26" s="81">
        <v>6</v>
      </c>
      <c r="C26" s="70" t="s">
        <v>42</v>
      </c>
      <c r="D26" s="59"/>
      <c r="E26" s="59"/>
      <c r="F26" s="59"/>
      <c r="G26" s="60"/>
    </row>
    <row r="27" spans="1:7" ht="20.25" x14ac:dyDescent="0.25">
      <c r="A27" s="78"/>
      <c r="B27" s="79">
        <v>7</v>
      </c>
      <c r="C27" s="70" t="s">
        <v>66</v>
      </c>
      <c r="D27" s="59"/>
      <c r="E27" s="59"/>
      <c r="F27" s="59"/>
      <c r="G27" s="60"/>
    </row>
    <row r="28" spans="1:7" ht="20.25" x14ac:dyDescent="0.25">
      <c r="A28" s="78"/>
      <c r="B28" s="79">
        <v>8</v>
      </c>
      <c r="C28" s="71"/>
      <c r="D28" s="59"/>
      <c r="E28" s="59"/>
      <c r="F28" s="59"/>
      <c r="G28" s="60"/>
    </row>
    <row r="29" spans="1:7" ht="20.25" x14ac:dyDescent="0.25">
      <c r="A29" s="78"/>
      <c r="B29" s="81">
        <v>9</v>
      </c>
      <c r="C29" s="71"/>
      <c r="D29" s="59"/>
      <c r="E29" s="59"/>
      <c r="F29" s="59"/>
      <c r="G29" s="60"/>
    </row>
    <row r="30" spans="1:7" ht="20.25" x14ac:dyDescent="0.25">
      <c r="A30" s="78"/>
      <c r="B30" s="79">
        <v>10</v>
      </c>
      <c r="C30" s="70"/>
      <c r="D30" s="59"/>
      <c r="E30" s="59"/>
      <c r="F30" s="59"/>
      <c r="G30" s="60"/>
    </row>
    <row r="31" spans="1:7" ht="20.25" x14ac:dyDescent="0.25">
      <c r="A31" s="78"/>
      <c r="B31" s="79">
        <v>11</v>
      </c>
      <c r="C31" s="70"/>
      <c r="D31" s="59"/>
      <c r="E31" s="59"/>
      <c r="F31" s="59"/>
      <c r="G31" s="60"/>
    </row>
    <row r="32" spans="1:7" ht="20.25" x14ac:dyDescent="0.25">
      <c r="A32" s="78"/>
      <c r="B32" s="81">
        <v>12</v>
      </c>
      <c r="C32" s="70"/>
      <c r="D32" s="59"/>
      <c r="E32" s="59"/>
      <c r="F32" s="59"/>
      <c r="G32" s="60"/>
    </row>
    <row r="33" spans="1:7" ht="20.25" x14ac:dyDescent="0.25">
      <c r="A33" s="78"/>
      <c r="B33" s="79">
        <v>13</v>
      </c>
      <c r="C33" s="70"/>
      <c r="D33" s="59"/>
      <c r="E33" s="59"/>
      <c r="F33" s="59"/>
      <c r="G33" s="60"/>
    </row>
    <row r="34" spans="1:7" ht="20.25" x14ac:dyDescent="0.25">
      <c r="A34" s="78"/>
      <c r="B34" s="79">
        <v>14</v>
      </c>
      <c r="C34" s="71"/>
      <c r="D34" s="59"/>
      <c r="E34" s="59"/>
      <c r="F34" s="59"/>
      <c r="G34" s="60"/>
    </row>
    <row r="35" spans="1:7" ht="20.25" x14ac:dyDescent="0.25">
      <c r="A35" s="78"/>
      <c r="B35" s="81">
        <v>15</v>
      </c>
      <c r="C35" s="71"/>
      <c r="D35" s="59"/>
      <c r="E35" s="59"/>
      <c r="F35" s="59"/>
      <c r="G35" s="60"/>
    </row>
    <row r="36" spans="1:7" ht="20.25" x14ac:dyDescent="0.25">
      <c r="A36" s="78"/>
      <c r="B36" s="79">
        <v>16</v>
      </c>
      <c r="C36" s="70"/>
      <c r="D36" s="59"/>
      <c r="E36" s="59"/>
      <c r="F36" s="59"/>
      <c r="G36" s="60"/>
    </row>
    <row r="37" spans="1:7" ht="20.25" x14ac:dyDescent="0.25">
      <c r="A37" s="78"/>
      <c r="B37" s="79">
        <v>17</v>
      </c>
      <c r="C37" s="70"/>
      <c r="D37" s="59"/>
      <c r="E37" s="59"/>
      <c r="F37" s="59"/>
      <c r="G37" s="60"/>
    </row>
    <row r="38" spans="1:7" ht="20.25" x14ac:dyDescent="0.25">
      <c r="A38" s="78"/>
      <c r="B38" s="81">
        <v>18</v>
      </c>
      <c r="C38" s="70"/>
      <c r="D38" s="59"/>
      <c r="E38" s="59"/>
      <c r="F38" s="59"/>
      <c r="G38" s="60"/>
    </row>
    <row r="39" spans="1:7" ht="20.25" x14ac:dyDescent="0.25">
      <c r="A39" s="78"/>
      <c r="B39" s="79">
        <v>19</v>
      </c>
      <c r="C39" s="70"/>
      <c r="D39" s="59"/>
      <c r="E39" s="59"/>
      <c r="F39" s="59"/>
      <c r="G39" s="60"/>
    </row>
    <row r="40" spans="1:7" ht="20.25" x14ac:dyDescent="0.25">
      <c r="A40" s="78"/>
      <c r="B40" s="79">
        <v>20</v>
      </c>
      <c r="C40" s="71"/>
      <c r="D40" s="59"/>
      <c r="E40" s="59"/>
      <c r="F40" s="59"/>
      <c r="G40" s="60"/>
    </row>
    <row r="41" spans="1:7" ht="20.25" x14ac:dyDescent="0.25">
      <c r="A41" s="78"/>
      <c r="B41" s="81">
        <v>21</v>
      </c>
      <c r="C41" s="71"/>
      <c r="D41" s="59"/>
      <c r="E41" s="59"/>
      <c r="F41" s="59"/>
      <c r="G41" s="60"/>
    </row>
    <row r="42" spans="1:7" ht="20.25" x14ac:dyDescent="0.25">
      <c r="A42" s="78"/>
      <c r="B42" s="79">
        <v>22</v>
      </c>
      <c r="C42" s="70"/>
      <c r="D42" s="59"/>
      <c r="E42" s="59"/>
      <c r="F42" s="59"/>
      <c r="G42" s="60"/>
    </row>
    <row r="43" spans="1:7" ht="20.25" x14ac:dyDescent="0.25">
      <c r="A43" s="78"/>
      <c r="B43" s="79">
        <v>23</v>
      </c>
      <c r="C43" s="70"/>
      <c r="D43" s="59"/>
      <c r="E43" s="59"/>
      <c r="F43" s="59"/>
      <c r="G43" s="60"/>
    </row>
    <row r="44" spans="1:7" ht="20.25" x14ac:dyDescent="0.25">
      <c r="A44" s="78"/>
      <c r="B44" s="81">
        <v>24</v>
      </c>
      <c r="C44" s="70"/>
      <c r="D44" s="59"/>
      <c r="E44" s="59"/>
      <c r="F44" s="59"/>
      <c r="G44" s="60"/>
    </row>
    <row r="45" spans="1:7" ht="21" thickBot="1" x14ac:dyDescent="0.3">
      <c r="A45" s="78"/>
      <c r="B45" s="82">
        <v>25</v>
      </c>
      <c r="C45" s="83"/>
      <c r="D45" s="59"/>
      <c r="E45" s="59"/>
      <c r="F45" s="59"/>
      <c r="G45" s="60"/>
    </row>
    <row r="46" spans="1:7" x14ac:dyDescent="0.25">
      <c r="A46" s="78"/>
      <c r="B46" s="55"/>
      <c r="C46" s="59"/>
      <c r="D46" s="59"/>
      <c r="E46" s="59"/>
      <c r="F46" s="59"/>
      <c r="G46" s="60"/>
    </row>
    <row r="47" spans="1:7" x14ac:dyDescent="0.25">
      <c r="A47" s="78"/>
      <c r="B47" s="59"/>
      <c r="C47" s="59"/>
      <c r="D47" s="59"/>
      <c r="E47" s="59"/>
      <c r="F47" s="59"/>
      <c r="G47" s="60"/>
    </row>
    <row r="48" spans="1:7" x14ac:dyDescent="0.25">
      <c r="A48" s="78"/>
      <c r="B48" s="59"/>
      <c r="C48" s="59"/>
      <c r="D48" s="59"/>
      <c r="E48" s="59"/>
      <c r="F48" s="59"/>
      <c r="G48" s="60"/>
    </row>
    <row r="49" spans="1:7" x14ac:dyDescent="0.25">
      <c r="A49" s="78"/>
      <c r="B49" s="59"/>
      <c r="C49" s="59"/>
      <c r="D49" s="59"/>
      <c r="E49" s="59"/>
      <c r="F49" s="59"/>
      <c r="G49" s="60"/>
    </row>
    <row r="50" spans="1:7" x14ac:dyDescent="0.25">
      <c r="A50" s="78"/>
      <c r="B50" s="59"/>
      <c r="C50" s="59"/>
      <c r="D50" s="59"/>
      <c r="E50" s="59"/>
      <c r="F50" s="59"/>
      <c r="G50" s="60"/>
    </row>
    <row r="51" spans="1:7" x14ac:dyDescent="0.25">
      <c r="A51" s="78"/>
      <c r="B51" s="59"/>
      <c r="C51" s="59"/>
      <c r="D51" s="59"/>
      <c r="E51" s="59"/>
      <c r="F51" s="59"/>
      <c r="G51" s="60"/>
    </row>
    <row r="52" spans="1:7" x14ac:dyDescent="0.25">
      <c r="A52" s="78"/>
      <c r="B52" s="59"/>
      <c r="C52" s="59"/>
      <c r="D52" s="59"/>
      <c r="E52" s="59"/>
      <c r="F52" s="59"/>
      <c r="G52" s="60"/>
    </row>
    <row r="53" spans="1:7" x14ac:dyDescent="0.25">
      <c r="A53" s="78"/>
      <c r="B53" s="59"/>
      <c r="C53" s="59"/>
      <c r="D53" s="59"/>
      <c r="E53" s="59"/>
      <c r="F53" s="59"/>
      <c r="G53" s="60"/>
    </row>
    <row r="54" spans="1:7" ht="14.25" thickBot="1" x14ac:dyDescent="0.3">
      <c r="A54" s="84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2" r:id="rId5" name="btnCreateDiagram">
          <controlPr defaultSize="0" autoLine="0" r:id="rId6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5" name="btnCreateDiagram"/>
      </mc:Fallback>
    </mc:AlternateContent>
    <mc:AlternateContent xmlns:mc="http://schemas.openxmlformats.org/markup-compatibility/2006">
      <mc:Choice Requires="x14">
        <control shapeId="15364" r:id="rId7" name="btnCreatePlanning">
          <controlPr defaultSize="0" autoLine="0" r:id="rId8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7" name="btnCreatePlanning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0B3CFF-044E-47E3-8368-98B48C9742D5}">
  <sheetPr codeName="Feuil7"/>
  <dimension ref="A1:BW16"/>
  <sheetViews>
    <sheetView workbookViewId="0">
      <selection activeCell="B1" sqref="B1"/>
    </sheetView>
  </sheetViews>
  <sheetFormatPr baseColWidth="10" defaultColWidth="1.5703125" defaultRowHeight="19.5" customHeight="1" x14ac:dyDescent="0.25"/>
  <cols>
    <col min="1" max="1" width="17.85546875" style="90" customWidth="1"/>
    <col min="2" max="2" width="51.28515625" style="90" customWidth="1"/>
    <col min="3" max="3" width="19.42578125" style="90" customWidth="1"/>
    <col min="4" max="16384" width="1.5703125" style="90"/>
  </cols>
  <sheetData>
    <row r="1" spans="1:75" ht="14.25" thickBot="1" x14ac:dyDescent="0.3">
      <c r="B1" s="91"/>
      <c r="C1" s="91"/>
    </row>
    <row r="2" spans="1:75" ht="42.75" customHeight="1" thickBot="1" x14ac:dyDescent="0.3">
      <c r="A2" s="92"/>
      <c r="B2" s="93" t="s">
        <v>16</v>
      </c>
      <c r="C2" s="94" t="s">
        <v>17</v>
      </c>
      <c r="D2" s="128" t="s">
        <v>33</v>
      </c>
      <c r="E2" s="129"/>
      <c r="F2" s="129"/>
      <c r="G2" s="129"/>
      <c r="H2" s="129"/>
      <c r="I2" s="129"/>
      <c r="J2" s="129"/>
      <c r="K2" s="129"/>
      <c r="L2" s="130"/>
      <c r="M2" s="128" t="s">
        <v>34</v>
      </c>
      <c r="N2" s="129"/>
      <c r="O2" s="129"/>
      <c r="P2" s="129"/>
      <c r="Q2" s="129"/>
      <c r="R2" s="129"/>
      <c r="S2" s="129"/>
      <c r="T2" s="129"/>
      <c r="U2" s="130"/>
      <c r="V2" s="128" t="s">
        <v>35</v>
      </c>
      <c r="W2" s="129"/>
      <c r="X2" s="129"/>
      <c r="Y2" s="129"/>
      <c r="Z2" s="129"/>
      <c r="AA2" s="129"/>
      <c r="AB2" s="129"/>
      <c r="AC2" s="129"/>
      <c r="AD2" s="130"/>
      <c r="AE2" s="128" t="s">
        <v>36</v>
      </c>
      <c r="AF2" s="129"/>
      <c r="AG2" s="129"/>
      <c r="AH2" s="129"/>
      <c r="AI2" s="129"/>
      <c r="AJ2" s="129"/>
      <c r="AK2" s="129"/>
      <c r="AL2" s="129"/>
      <c r="AM2" s="130"/>
      <c r="AN2" s="128" t="s">
        <v>37</v>
      </c>
      <c r="AO2" s="129"/>
      <c r="AP2" s="129"/>
      <c r="AQ2" s="129"/>
      <c r="AR2" s="129"/>
      <c r="AS2" s="129"/>
      <c r="AT2" s="129"/>
      <c r="AU2" s="129"/>
      <c r="AV2" s="130"/>
      <c r="AW2" s="128" t="s">
        <v>38</v>
      </c>
      <c r="AX2" s="129"/>
      <c r="AY2" s="129"/>
      <c r="AZ2" s="129"/>
      <c r="BA2" s="129"/>
      <c r="BB2" s="129"/>
      <c r="BC2" s="129"/>
      <c r="BD2" s="129"/>
      <c r="BE2" s="130"/>
      <c r="BF2" s="128" t="s">
        <v>39</v>
      </c>
      <c r="BG2" s="129"/>
      <c r="BH2" s="129"/>
      <c r="BI2" s="129"/>
      <c r="BJ2" s="129"/>
      <c r="BK2" s="129"/>
      <c r="BL2" s="129"/>
      <c r="BM2" s="129"/>
      <c r="BN2" s="130"/>
      <c r="BO2" s="128" t="s">
        <v>40</v>
      </c>
      <c r="BP2" s="129"/>
      <c r="BQ2" s="129"/>
      <c r="BR2" s="129"/>
      <c r="BS2" s="129"/>
      <c r="BT2" s="129"/>
      <c r="BU2" s="129"/>
      <c r="BV2" s="129"/>
      <c r="BW2" s="130"/>
    </row>
    <row r="3" spans="1:75" ht="19.5" customHeight="1" x14ac:dyDescent="0.25">
      <c r="A3" s="92"/>
      <c r="B3" s="125" t="s">
        <v>15</v>
      </c>
      <c r="C3" s="95">
        <v>0</v>
      </c>
      <c r="D3" s="96"/>
      <c r="E3" s="97"/>
      <c r="F3" s="98"/>
      <c r="G3" s="99"/>
      <c r="H3" s="97"/>
      <c r="I3" s="98"/>
      <c r="J3" s="99"/>
      <c r="K3" s="97"/>
      <c r="L3" s="100"/>
      <c r="M3" s="96"/>
      <c r="N3" s="97"/>
      <c r="O3" s="98"/>
      <c r="P3" s="99"/>
      <c r="Q3" s="97"/>
      <c r="R3" s="98"/>
      <c r="S3" s="99"/>
      <c r="T3" s="97"/>
      <c r="U3" s="100"/>
      <c r="V3" s="96"/>
      <c r="W3" s="97"/>
      <c r="X3" s="98"/>
      <c r="Y3" s="99"/>
      <c r="Z3" s="97"/>
      <c r="AA3" s="98"/>
      <c r="AB3" s="99"/>
      <c r="AC3" s="97"/>
      <c r="AD3" s="100"/>
      <c r="AE3" s="96"/>
      <c r="AF3" s="97"/>
      <c r="AG3" s="98"/>
      <c r="AH3" s="99"/>
      <c r="AI3" s="97"/>
      <c r="AJ3" s="98"/>
      <c r="AK3" s="99"/>
      <c r="AL3" s="97"/>
      <c r="AM3" s="100"/>
      <c r="AN3" s="96"/>
      <c r="AO3" s="97"/>
      <c r="AP3" s="98"/>
      <c r="AQ3" s="99"/>
      <c r="AR3" s="97"/>
      <c r="AS3" s="98"/>
      <c r="AT3" s="99"/>
      <c r="AU3" s="97"/>
      <c r="AV3" s="100"/>
      <c r="AW3" s="96"/>
      <c r="AX3" s="97"/>
      <c r="AY3" s="98"/>
      <c r="AZ3" s="99"/>
      <c r="BA3" s="97"/>
      <c r="BB3" s="98"/>
      <c r="BC3" s="99"/>
      <c r="BD3" s="97"/>
      <c r="BE3" s="100"/>
      <c r="BF3" s="96"/>
      <c r="BG3" s="97"/>
      <c r="BH3" s="98"/>
      <c r="BI3" s="99"/>
      <c r="BJ3" s="97"/>
      <c r="BK3" s="98"/>
      <c r="BL3" s="99"/>
      <c r="BM3" s="97"/>
      <c r="BN3" s="100"/>
      <c r="BO3" s="96"/>
      <c r="BP3" s="97"/>
      <c r="BQ3" s="98"/>
      <c r="BR3" s="99"/>
      <c r="BS3" s="97"/>
      <c r="BT3" s="98"/>
      <c r="BU3" s="99"/>
      <c r="BV3" s="97"/>
      <c r="BW3" s="100"/>
    </row>
    <row r="4" spans="1:75" ht="19.5" customHeight="1" thickBot="1" x14ac:dyDescent="0.3">
      <c r="A4" s="92"/>
      <c r="B4" s="126"/>
      <c r="C4" s="101">
        <v>0</v>
      </c>
      <c r="D4" s="102"/>
      <c r="E4" s="103"/>
      <c r="F4" s="104"/>
      <c r="G4" s="105"/>
      <c r="H4" s="103"/>
      <c r="I4" s="104"/>
      <c r="J4" s="105"/>
      <c r="K4" s="103"/>
      <c r="L4" s="106"/>
      <c r="M4" s="102"/>
      <c r="N4" s="103"/>
      <c r="O4" s="104"/>
      <c r="P4" s="105"/>
      <c r="Q4" s="103"/>
      <c r="R4" s="104"/>
      <c r="S4" s="105"/>
      <c r="T4" s="103"/>
      <c r="U4" s="106"/>
      <c r="V4" s="102"/>
      <c r="W4" s="103"/>
      <c r="X4" s="104"/>
      <c r="Y4" s="105"/>
      <c r="Z4" s="103"/>
      <c r="AA4" s="104"/>
      <c r="AB4" s="105"/>
      <c r="AC4" s="103"/>
      <c r="AD4" s="106"/>
      <c r="AE4" s="102"/>
      <c r="AF4" s="103"/>
      <c r="AG4" s="104"/>
      <c r="AH4" s="105"/>
      <c r="AI4" s="103"/>
      <c r="AJ4" s="104"/>
      <c r="AK4" s="105"/>
      <c r="AL4" s="103"/>
      <c r="AM4" s="106"/>
      <c r="AN4" s="102"/>
      <c r="AO4" s="103"/>
      <c r="AP4" s="104"/>
      <c r="AQ4" s="105"/>
      <c r="AR4" s="103"/>
      <c r="AS4" s="104"/>
      <c r="AT4" s="105"/>
      <c r="AU4" s="103"/>
      <c r="AV4" s="106"/>
      <c r="AW4" s="102"/>
      <c r="AX4" s="103"/>
      <c r="AY4" s="104"/>
      <c r="AZ4" s="105"/>
      <c r="BA4" s="103"/>
      <c r="BB4" s="104"/>
      <c r="BC4" s="105"/>
      <c r="BD4" s="103"/>
      <c r="BE4" s="106"/>
      <c r="BF4" s="102"/>
      <c r="BG4" s="103"/>
      <c r="BH4" s="104"/>
      <c r="BI4" s="105"/>
      <c r="BJ4" s="103"/>
      <c r="BK4" s="104"/>
      <c r="BL4" s="105"/>
      <c r="BM4" s="103"/>
      <c r="BN4" s="106"/>
      <c r="BO4" s="102"/>
      <c r="BP4" s="103"/>
      <c r="BQ4" s="104"/>
      <c r="BR4" s="105"/>
      <c r="BS4" s="103"/>
      <c r="BT4" s="104"/>
      <c r="BU4" s="105"/>
      <c r="BV4" s="103"/>
      <c r="BW4" s="106"/>
    </row>
    <row r="5" spans="1:75" ht="19.5" customHeight="1" x14ac:dyDescent="0.25">
      <c r="B5" s="127" t="str">
        <f>Donnees!$C$21</f>
        <v>Ecriture du rapport</v>
      </c>
      <c r="C5" s="107">
        <v>0</v>
      </c>
      <c r="D5" s="96"/>
      <c r="E5" s="97"/>
      <c r="F5" s="98"/>
      <c r="G5" s="99"/>
      <c r="H5" s="97"/>
      <c r="I5" s="98"/>
      <c r="J5" s="99"/>
      <c r="K5" s="97"/>
      <c r="L5" s="100"/>
      <c r="M5" s="96"/>
      <c r="N5" s="97"/>
      <c r="O5" s="98"/>
      <c r="P5" s="99"/>
      <c r="Q5" s="97"/>
      <c r="R5" s="98"/>
      <c r="S5" s="99"/>
      <c r="T5" s="97"/>
      <c r="U5" s="100"/>
      <c r="V5" s="96"/>
      <c r="W5" s="97"/>
      <c r="X5" s="98"/>
      <c r="Y5" s="99"/>
      <c r="Z5" s="97"/>
      <c r="AA5" s="98"/>
      <c r="AB5" s="99"/>
      <c r="AC5" s="97"/>
      <c r="AD5" s="100"/>
      <c r="AE5" s="96"/>
      <c r="AF5" s="97"/>
      <c r="AG5" s="98"/>
      <c r="AH5" s="99"/>
      <c r="AI5" s="97"/>
      <c r="AJ5" s="98"/>
      <c r="AK5" s="99"/>
      <c r="AL5" s="97"/>
      <c r="AM5" s="100"/>
      <c r="AN5" s="96"/>
      <c r="AO5" s="97"/>
      <c r="AP5" s="98"/>
      <c r="AQ5" s="99"/>
      <c r="AR5" s="97"/>
      <c r="AS5" s="98"/>
      <c r="AT5" s="99"/>
      <c r="AU5" s="97"/>
      <c r="AV5" s="100"/>
      <c r="AW5" s="96"/>
      <c r="AX5" s="97"/>
      <c r="AY5" s="98"/>
      <c r="AZ5" s="99"/>
      <c r="BA5" s="97"/>
      <c r="BB5" s="98"/>
      <c r="BC5" s="99"/>
      <c r="BD5" s="97"/>
      <c r="BE5" s="100"/>
      <c r="BF5" s="96"/>
      <c r="BG5" s="97"/>
      <c r="BH5" s="98"/>
      <c r="BI5" s="99"/>
      <c r="BJ5" s="97"/>
      <c r="BK5" s="98"/>
      <c r="BL5" s="99"/>
      <c r="BM5" s="97"/>
      <c r="BN5" s="100"/>
      <c r="BO5" s="96"/>
      <c r="BP5" s="97"/>
      <c r="BQ5" s="98"/>
      <c r="BR5" s="99"/>
      <c r="BS5" s="97"/>
      <c r="BT5" s="98"/>
      <c r="BU5" s="99"/>
      <c r="BV5" s="97"/>
      <c r="BW5" s="100"/>
    </row>
    <row r="6" spans="1:75" ht="19.5" customHeight="1" thickBot="1" x14ac:dyDescent="0.3">
      <c r="B6" s="124"/>
      <c r="C6" s="108">
        <v>0</v>
      </c>
      <c r="D6" s="102"/>
      <c r="E6" s="103"/>
      <c r="F6" s="104"/>
      <c r="G6" s="105"/>
      <c r="H6" s="103"/>
      <c r="I6" s="104"/>
      <c r="J6" s="105"/>
      <c r="K6" s="103"/>
      <c r="L6" s="106"/>
      <c r="M6" s="102"/>
      <c r="N6" s="103"/>
      <c r="O6" s="104"/>
      <c r="P6" s="105"/>
      <c r="Q6" s="103"/>
      <c r="R6" s="104"/>
      <c r="S6" s="105"/>
      <c r="T6" s="103"/>
      <c r="U6" s="106"/>
      <c r="V6" s="102"/>
      <c r="W6" s="103"/>
      <c r="X6" s="104"/>
      <c r="Y6" s="105"/>
      <c r="Z6" s="103"/>
      <c r="AA6" s="104"/>
      <c r="AB6" s="105"/>
      <c r="AC6" s="103"/>
      <c r="AD6" s="106"/>
      <c r="AE6" s="102"/>
      <c r="AF6" s="103"/>
      <c r="AG6" s="104"/>
      <c r="AH6" s="105"/>
      <c r="AI6" s="103"/>
      <c r="AJ6" s="104"/>
      <c r="AK6" s="105"/>
      <c r="AL6" s="103"/>
      <c r="AM6" s="106"/>
      <c r="AN6" s="102"/>
      <c r="AO6" s="103"/>
      <c r="AP6" s="104"/>
      <c r="AQ6" s="105"/>
      <c r="AR6" s="103"/>
      <c r="AS6" s="104"/>
      <c r="AT6" s="105"/>
      <c r="AU6" s="103"/>
      <c r="AV6" s="106"/>
      <c r="AW6" s="102"/>
      <c r="AX6" s="103"/>
      <c r="AY6" s="104"/>
      <c r="AZ6" s="105"/>
      <c r="BA6" s="103"/>
      <c r="BB6" s="104"/>
      <c r="BC6" s="105"/>
      <c r="BD6" s="103"/>
      <c r="BE6" s="106"/>
      <c r="BF6" s="102"/>
      <c r="BG6" s="103"/>
      <c r="BH6" s="104"/>
      <c r="BI6" s="105"/>
      <c r="BJ6" s="103"/>
      <c r="BK6" s="104"/>
      <c r="BL6" s="105"/>
      <c r="BM6" s="103"/>
      <c r="BN6" s="106"/>
      <c r="BO6" s="102"/>
      <c r="BP6" s="103"/>
      <c r="BQ6" s="104"/>
      <c r="BR6" s="105"/>
      <c r="BS6" s="103"/>
      <c r="BT6" s="104"/>
      <c r="BU6" s="105"/>
      <c r="BV6" s="103"/>
      <c r="BW6" s="106"/>
    </row>
    <row r="7" spans="1:75" ht="19.5" customHeight="1" x14ac:dyDescent="0.25">
      <c r="B7" s="123" t="str">
        <f>Donnees!$C$22</f>
        <v>Choix du programme</v>
      </c>
      <c r="C7" s="107">
        <v>0</v>
      </c>
      <c r="D7" s="96"/>
      <c r="E7" s="97"/>
      <c r="F7" s="98"/>
      <c r="G7" s="99"/>
      <c r="H7" s="97"/>
      <c r="I7" s="98"/>
      <c r="J7" s="99"/>
      <c r="K7" s="97"/>
      <c r="L7" s="100"/>
      <c r="M7" s="96"/>
      <c r="N7" s="97"/>
      <c r="O7" s="98"/>
      <c r="P7" s="99"/>
      <c r="Q7" s="97"/>
      <c r="R7" s="98"/>
      <c r="S7" s="99"/>
      <c r="T7" s="97"/>
      <c r="U7" s="100"/>
      <c r="V7" s="96"/>
      <c r="W7" s="97"/>
      <c r="X7" s="98"/>
      <c r="Y7" s="99"/>
      <c r="Z7" s="97"/>
      <c r="AA7" s="98"/>
      <c r="AB7" s="99"/>
      <c r="AC7" s="97"/>
      <c r="AD7" s="100"/>
      <c r="AE7" s="96"/>
      <c r="AF7" s="97"/>
      <c r="AG7" s="98"/>
      <c r="AH7" s="99"/>
      <c r="AI7" s="97"/>
      <c r="AJ7" s="98"/>
      <c r="AK7" s="99"/>
      <c r="AL7" s="97"/>
      <c r="AM7" s="100"/>
      <c r="AN7" s="96"/>
      <c r="AO7" s="97"/>
      <c r="AP7" s="98"/>
      <c r="AQ7" s="99"/>
      <c r="AR7" s="97"/>
      <c r="AS7" s="98"/>
      <c r="AT7" s="99"/>
      <c r="AU7" s="97"/>
      <c r="AV7" s="100"/>
      <c r="AW7" s="96"/>
      <c r="AX7" s="97"/>
      <c r="AY7" s="98"/>
      <c r="AZ7" s="99"/>
      <c r="BA7" s="97"/>
      <c r="BB7" s="98"/>
      <c r="BC7" s="99"/>
      <c r="BD7" s="97"/>
      <c r="BE7" s="100"/>
      <c r="BF7" s="96"/>
      <c r="BG7" s="97"/>
      <c r="BH7" s="98"/>
      <c r="BI7" s="99"/>
      <c r="BJ7" s="97"/>
      <c r="BK7" s="98"/>
      <c r="BL7" s="99"/>
      <c r="BM7" s="97"/>
      <c r="BN7" s="100"/>
      <c r="BO7" s="96"/>
      <c r="BP7" s="97"/>
      <c r="BQ7" s="98"/>
      <c r="BR7" s="99"/>
      <c r="BS7" s="97"/>
      <c r="BT7" s="98"/>
      <c r="BU7" s="99"/>
      <c r="BV7" s="97"/>
      <c r="BW7" s="100"/>
    </row>
    <row r="8" spans="1:75" ht="19.5" customHeight="1" thickBot="1" x14ac:dyDescent="0.3">
      <c r="B8" s="124"/>
      <c r="C8" s="108">
        <v>0</v>
      </c>
      <c r="D8" s="102"/>
      <c r="E8" s="103"/>
      <c r="F8" s="104"/>
      <c r="G8" s="105"/>
      <c r="H8" s="103"/>
      <c r="I8" s="104"/>
      <c r="J8" s="105"/>
      <c r="K8" s="103"/>
      <c r="L8" s="106"/>
      <c r="M8" s="102"/>
      <c r="N8" s="103"/>
      <c r="O8" s="104"/>
      <c r="P8" s="105"/>
      <c r="Q8" s="103"/>
      <c r="R8" s="104"/>
      <c r="S8" s="105"/>
      <c r="T8" s="103"/>
      <c r="U8" s="106"/>
      <c r="V8" s="102"/>
      <c r="W8" s="103"/>
      <c r="X8" s="104"/>
      <c r="Y8" s="105"/>
      <c r="Z8" s="103"/>
      <c r="AA8" s="104"/>
      <c r="AB8" s="105"/>
      <c r="AC8" s="103"/>
      <c r="AD8" s="106"/>
      <c r="AE8" s="102"/>
      <c r="AF8" s="103"/>
      <c r="AG8" s="104"/>
      <c r="AH8" s="105"/>
      <c r="AI8" s="103"/>
      <c r="AJ8" s="104"/>
      <c r="AK8" s="105"/>
      <c r="AL8" s="103"/>
      <c r="AM8" s="106"/>
      <c r="AN8" s="102"/>
      <c r="AO8" s="103"/>
      <c r="AP8" s="104"/>
      <c r="AQ8" s="105"/>
      <c r="AR8" s="103"/>
      <c r="AS8" s="104"/>
      <c r="AT8" s="105"/>
      <c r="AU8" s="103"/>
      <c r="AV8" s="106"/>
      <c r="AW8" s="102"/>
      <c r="AX8" s="103"/>
      <c r="AY8" s="104"/>
      <c r="AZ8" s="105"/>
      <c r="BA8" s="103"/>
      <c r="BB8" s="104"/>
      <c r="BC8" s="105"/>
      <c r="BD8" s="103"/>
      <c r="BE8" s="106"/>
      <c r="BF8" s="102"/>
      <c r="BG8" s="103"/>
      <c r="BH8" s="104"/>
      <c r="BI8" s="105"/>
      <c r="BJ8" s="103"/>
      <c r="BK8" s="104"/>
      <c r="BL8" s="105"/>
      <c r="BM8" s="103"/>
      <c r="BN8" s="106"/>
      <c r="BO8" s="102"/>
      <c r="BP8" s="103"/>
      <c r="BQ8" s="104"/>
      <c r="BR8" s="105"/>
      <c r="BS8" s="103"/>
      <c r="BT8" s="104"/>
      <c r="BU8" s="105"/>
      <c r="BV8" s="103"/>
      <c r="BW8" s="106"/>
    </row>
    <row r="9" spans="1:75" ht="19.5" customHeight="1" x14ac:dyDescent="0.25">
      <c r="B9" s="123" t="str">
        <f>Donnees!$C$23</f>
        <v>Documentation</v>
      </c>
      <c r="C9" s="107">
        <v>0</v>
      </c>
      <c r="D9" s="96"/>
      <c r="E9" s="97"/>
      <c r="F9" s="98"/>
      <c r="G9" s="99"/>
      <c r="H9" s="97"/>
      <c r="I9" s="98"/>
      <c r="J9" s="99"/>
      <c r="K9" s="97"/>
      <c r="L9" s="100"/>
      <c r="M9" s="96"/>
      <c r="N9" s="97"/>
      <c r="O9" s="98"/>
      <c r="P9" s="99"/>
      <c r="Q9" s="97"/>
      <c r="R9" s="98"/>
      <c r="S9" s="99"/>
      <c r="T9" s="97"/>
      <c r="U9" s="100"/>
      <c r="V9" s="96"/>
      <c r="W9" s="97"/>
      <c r="X9" s="98"/>
      <c r="Y9" s="99"/>
      <c r="Z9" s="97"/>
      <c r="AA9" s="98"/>
      <c r="AB9" s="99"/>
      <c r="AC9" s="97"/>
      <c r="AD9" s="100"/>
      <c r="AE9" s="96"/>
      <c r="AF9" s="97"/>
      <c r="AG9" s="98"/>
      <c r="AH9" s="99"/>
      <c r="AI9" s="97"/>
      <c r="AJ9" s="98"/>
      <c r="AK9" s="99"/>
      <c r="AL9" s="97"/>
      <c r="AM9" s="100"/>
      <c r="AN9" s="96"/>
      <c r="AO9" s="97"/>
      <c r="AP9" s="98"/>
      <c r="AQ9" s="99"/>
      <c r="AR9" s="97"/>
      <c r="AS9" s="98"/>
      <c r="AT9" s="99"/>
      <c r="AU9" s="97"/>
      <c r="AV9" s="100"/>
      <c r="AW9" s="96"/>
      <c r="AX9" s="97"/>
      <c r="AY9" s="98"/>
      <c r="AZ9" s="99"/>
      <c r="BA9" s="97"/>
      <c r="BB9" s="98"/>
      <c r="BC9" s="99"/>
      <c r="BD9" s="97"/>
      <c r="BE9" s="100"/>
      <c r="BF9" s="96"/>
      <c r="BG9" s="97"/>
      <c r="BH9" s="98"/>
      <c r="BI9" s="99"/>
      <c r="BJ9" s="97"/>
      <c r="BK9" s="98"/>
      <c r="BL9" s="99"/>
      <c r="BM9" s="97"/>
      <c r="BN9" s="100"/>
      <c r="BO9" s="96"/>
      <c r="BP9" s="97"/>
      <c r="BQ9" s="98"/>
      <c r="BR9" s="99"/>
      <c r="BS9" s="97"/>
      <c r="BT9" s="98"/>
      <c r="BU9" s="99"/>
      <c r="BV9" s="97"/>
      <c r="BW9" s="100"/>
    </row>
    <row r="10" spans="1:75" ht="19.5" customHeight="1" thickBot="1" x14ac:dyDescent="0.3">
      <c r="B10" s="124"/>
      <c r="C10" s="108">
        <v>0</v>
      </c>
      <c r="D10" s="102"/>
      <c r="E10" s="103"/>
      <c r="F10" s="104"/>
      <c r="G10" s="105"/>
      <c r="H10" s="103"/>
      <c r="I10" s="104"/>
      <c r="J10" s="105"/>
      <c r="K10" s="103"/>
      <c r="L10" s="106"/>
      <c r="M10" s="102"/>
      <c r="N10" s="103"/>
      <c r="O10" s="104"/>
      <c r="P10" s="105"/>
      <c r="Q10" s="103"/>
      <c r="R10" s="104"/>
      <c r="S10" s="105"/>
      <c r="T10" s="103"/>
      <c r="U10" s="106"/>
      <c r="V10" s="102"/>
      <c r="W10" s="103"/>
      <c r="X10" s="104"/>
      <c r="Y10" s="105"/>
      <c r="Z10" s="103"/>
      <c r="AA10" s="104"/>
      <c r="AB10" s="105"/>
      <c r="AC10" s="103"/>
      <c r="AD10" s="106"/>
      <c r="AE10" s="102"/>
      <c r="AF10" s="103"/>
      <c r="AG10" s="104"/>
      <c r="AH10" s="105"/>
      <c r="AI10" s="103"/>
      <c r="AJ10" s="104"/>
      <c r="AK10" s="105"/>
      <c r="AL10" s="103"/>
      <c r="AM10" s="106"/>
      <c r="AN10" s="102"/>
      <c r="AO10" s="103"/>
      <c r="AP10" s="104"/>
      <c r="AQ10" s="105"/>
      <c r="AR10" s="103"/>
      <c r="AS10" s="104"/>
      <c r="AT10" s="105"/>
      <c r="AU10" s="103"/>
      <c r="AV10" s="106"/>
      <c r="AW10" s="102"/>
      <c r="AX10" s="103"/>
      <c r="AY10" s="104"/>
      <c r="AZ10" s="105"/>
      <c r="BA10" s="103"/>
      <c r="BB10" s="104"/>
      <c r="BC10" s="105"/>
      <c r="BD10" s="103"/>
      <c r="BE10" s="106"/>
      <c r="BF10" s="102"/>
      <c r="BG10" s="103"/>
      <c r="BH10" s="104"/>
      <c r="BI10" s="105"/>
      <c r="BJ10" s="103"/>
      <c r="BK10" s="104"/>
      <c r="BL10" s="105"/>
      <c r="BM10" s="103"/>
      <c r="BN10" s="106"/>
      <c r="BO10" s="102"/>
      <c r="BP10" s="103"/>
      <c r="BQ10" s="104"/>
      <c r="BR10" s="105"/>
      <c r="BS10" s="103"/>
      <c r="BT10" s="104"/>
      <c r="BU10" s="105"/>
      <c r="BV10" s="103"/>
      <c r="BW10" s="106"/>
    </row>
    <row r="11" spans="1:75" ht="19.5" customHeight="1" x14ac:dyDescent="0.25">
      <c r="B11" s="123" t="str">
        <f>Donnees!$C$24</f>
        <v>Programmation</v>
      </c>
      <c r="C11" s="107">
        <v>0</v>
      </c>
      <c r="D11" s="96"/>
      <c r="E11" s="97"/>
      <c r="F11" s="98"/>
      <c r="G11" s="99"/>
      <c r="H11" s="97"/>
      <c r="I11" s="98"/>
      <c r="J11" s="99"/>
      <c r="K11" s="97"/>
      <c r="L11" s="100"/>
      <c r="M11" s="96"/>
      <c r="N11" s="97"/>
      <c r="O11" s="98"/>
      <c r="P11" s="99"/>
      <c r="Q11" s="97"/>
      <c r="R11" s="98"/>
      <c r="S11" s="99"/>
      <c r="T11" s="97"/>
      <c r="U11" s="100"/>
      <c r="V11" s="96"/>
      <c r="W11" s="97"/>
      <c r="X11" s="98"/>
      <c r="Y11" s="99"/>
      <c r="Z11" s="97"/>
      <c r="AA11" s="98"/>
      <c r="AB11" s="99"/>
      <c r="AC11" s="97"/>
      <c r="AD11" s="100"/>
      <c r="AE11" s="96"/>
      <c r="AF11" s="97"/>
      <c r="AG11" s="98"/>
      <c r="AH11" s="99"/>
      <c r="AI11" s="97"/>
      <c r="AJ11" s="98"/>
      <c r="AK11" s="99"/>
      <c r="AL11" s="97"/>
      <c r="AM11" s="100"/>
      <c r="AN11" s="96"/>
      <c r="AO11" s="97"/>
      <c r="AP11" s="98"/>
      <c r="AQ11" s="99"/>
      <c r="AR11" s="97"/>
      <c r="AS11" s="98"/>
      <c r="AT11" s="99"/>
      <c r="AU11" s="97"/>
      <c r="AV11" s="100"/>
      <c r="AW11" s="96"/>
      <c r="AX11" s="97"/>
      <c r="AY11" s="98"/>
      <c r="AZ11" s="99"/>
      <c r="BA11" s="97"/>
      <c r="BB11" s="98"/>
      <c r="BC11" s="99"/>
      <c r="BD11" s="97"/>
      <c r="BE11" s="100"/>
      <c r="BF11" s="96"/>
      <c r="BG11" s="97"/>
      <c r="BH11" s="98"/>
      <c r="BI11" s="99"/>
      <c r="BJ11" s="97"/>
      <c r="BK11" s="98"/>
      <c r="BL11" s="99"/>
      <c r="BM11" s="97"/>
      <c r="BN11" s="100"/>
      <c r="BO11" s="96"/>
      <c r="BP11" s="97"/>
      <c r="BQ11" s="98"/>
      <c r="BR11" s="99"/>
      <c r="BS11" s="97"/>
      <c r="BT11" s="98"/>
      <c r="BU11" s="99"/>
      <c r="BV11" s="97"/>
      <c r="BW11" s="100"/>
    </row>
    <row r="12" spans="1:75" ht="19.5" customHeight="1" thickBot="1" x14ac:dyDescent="0.3">
      <c r="B12" s="124"/>
      <c r="C12" s="108">
        <v>0</v>
      </c>
      <c r="D12" s="102"/>
      <c r="E12" s="103"/>
      <c r="F12" s="104"/>
      <c r="G12" s="105"/>
      <c r="H12" s="103"/>
      <c r="I12" s="104"/>
      <c r="J12" s="105"/>
      <c r="K12" s="103"/>
      <c r="L12" s="106"/>
      <c r="M12" s="102"/>
      <c r="N12" s="103"/>
      <c r="O12" s="104"/>
      <c r="P12" s="105"/>
      <c r="Q12" s="103"/>
      <c r="R12" s="104"/>
      <c r="S12" s="105"/>
      <c r="T12" s="103"/>
      <c r="U12" s="106"/>
      <c r="V12" s="102"/>
      <c r="W12" s="103"/>
      <c r="X12" s="104"/>
      <c r="Y12" s="105"/>
      <c r="Z12" s="103"/>
      <c r="AA12" s="104"/>
      <c r="AB12" s="105"/>
      <c r="AC12" s="103"/>
      <c r="AD12" s="106"/>
      <c r="AE12" s="102"/>
      <c r="AF12" s="103"/>
      <c r="AG12" s="104"/>
      <c r="AH12" s="105"/>
      <c r="AI12" s="103"/>
      <c r="AJ12" s="104"/>
      <c r="AK12" s="105"/>
      <c r="AL12" s="103"/>
      <c r="AM12" s="106"/>
      <c r="AN12" s="102"/>
      <c r="AO12" s="103"/>
      <c r="AP12" s="104"/>
      <c r="AQ12" s="105"/>
      <c r="AR12" s="103"/>
      <c r="AS12" s="104"/>
      <c r="AT12" s="105"/>
      <c r="AU12" s="103"/>
      <c r="AV12" s="106"/>
      <c r="AW12" s="102"/>
      <c r="AX12" s="103"/>
      <c r="AY12" s="104"/>
      <c r="AZ12" s="105"/>
      <c r="BA12" s="103"/>
      <c r="BB12" s="104"/>
      <c r="BC12" s="105"/>
      <c r="BD12" s="103"/>
      <c r="BE12" s="106"/>
      <c r="BF12" s="102"/>
      <c r="BG12" s="103"/>
      <c r="BH12" s="104"/>
      <c r="BI12" s="105"/>
      <c r="BJ12" s="103"/>
      <c r="BK12" s="104"/>
      <c r="BL12" s="105"/>
      <c r="BM12" s="103"/>
      <c r="BN12" s="106"/>
      <c r="BO12" s="102"/>
      <c r="BP12" s="103"/>
      <c r="BQ12" s="104"/>
      <c r="BR12" s="105"/>
      <c r="BS12" s="103"/>
      <c r="BT12" s="104"/>
      <c r="BU12" s="105"/>
      <c r="BV12" s="103"/>
      <c r="BW12" s="106"/>
    </row>
    <row r="13" spans="1:75" ht="19.5" customHeight="1" x14ac:dyDescent="0.25">
      <c r="B13" s="123" t="str">
        <f>Donnees!$C$25</f>
        <v>Débuggage</v>
      </c>
      <c r="C13" s="107">
        <v>0</v>
      </c>
      <c r="D13" s="96"/>
      <c r="E13" s="97"/>
      <c r="F13" s="98"/>
      <c r="G13" s="99"/>
      <c r="H13" s="97"/>
      <c r="I13" s="98"/>
      <c r="J13" s="99"/>
      <c r="K13" s="97"/>
      <c r="L13" s="100"/>
      <c r="M13" s="96"/>
      <c r="N13" s="97"/>
      <c r="O13" s="98"/>
      <c r="P13" s="99"/>
      <c r="Q13" s="97"/>
      <c r="R13" s="98"/>
      <c r="S13" s="99"/>
      <c r="T13" s="97"/>
      <c r="U13" s="100"/>
      <c r="V13" s="96"/>
      <c r="W13" s="97"/>
      <c r="X13" s="98"/>
      <c r="Y13" s="99"/>
      <c r="Z13" s="97"/>
      <c r="AA13" s="98"/>
      <c r="AB13" s="99"/>
      <c r="AC13" s="97"/>
      <c r="AD13" s="100"/>
      <c r="AE13" s="96"/>
      <c r="AF13" s="97"/>
      <c r="AG13" s="98"/>
      <c r="AH13" s="99"/>
      <c r="AI13" s="97"/>
      <c r="AJ13" s="98"/>
      <c r="AK13" s="99"/>
      <c r="AL13" s="97"/>
      <c r="AM13" s="100"/>
      <c r="AN13" s="96"/>
      <c r="AO13" s="97"/>
      <c r="AP13" s="98"/>
      <c r="AQ13" s="99"/>
      <c r="AR13" s="97"/>
      <c r="AS13" s="98"/>
      <c r="AT13" s="99"/>
      <c r="AU13" s="97"/>
      <c r="AV13" s="100"/>
      <c r="AW13" s="96"/>
      <c r="AX13" s="97"/>
      <c r="AY13" s="98"/>
      <c r="AZ13" s="99"/>
      <c r="BA13" s="97"/>
      <c r="BB13" s="98"/>
      <c r="BC13" s="99"/>
      <c r="BD13" s="97"/>
      <c r="BE13" s="100"/>
      <c r="BF13" s="96"/>
      <c r="BG13" s="97"/>
      <c r="BH13" s="98"/>
      <c r="BI13" s="99"/>
      <c r="BJ13" s="97"/>
      <c r="BK13" s="98"/>
      <c r="BL13" s="99"/>
      <c r="BM13" s="97"/>
      <c r="BN13" s="100"/>
      <c r="BO13" s="96"/>
      <c r="BP13" s="97"/>
      <c r="BQ13" s="98"/>
      <c r="BR13" s="99"/>
      <c r="BS13" s="97"/>
      <c r="BT13" s="98"/>
      <c r="BU13" s="99"/>
      <c r="BV13" s="97"/>
      <c r="BW13" s="100"/>
    </row>
    <row r="14" spans="1:75" ht="19.5" customHeight="1" x14ac:dyDescent="0.25">
      <c r="B14" s="124"/>
      <c r="C14" s="108">
        <v>0</v>
      </c>
      <c r="D14" s="102"/>
      <c r="E14" s="103"/>
      <c r="F14" s="104"/>
      <c r="G14" s="105"/>
      <c r="H14" s="103"/>
      <c r="I14" s="104"/>
      <c r="J14" s="105"/>
      <c r="K14" s="103"/>
      <c r="L14" s="106"/>
      <c r="M14" s="102"/>
      <c r="N14" s="103"/>
      <c r="O14" s="104"/>
      <c r="P14" s="105"/>
      <c r="Q14" s="103"/>
      <c r="R14" s="104"/>
      <c r="S14" s="105"/>
      <c r="T14" s="103"/>
      <c r="U14" s="106"/>
      <c r="V14" s="102"/>
      <c r="W14" s="103"/>
      <c r="X14" s="104"/>
      <c r="Y14" s="105"/>
      <c r="Z14" s="103"/>
      <c r="AA14" s="104"/>
      <c r="AB14" s="105"/>
      <c r="AC14" s="103"/>
      <c r="AD14" s="106"/>
      <c r="AE14" s="102"/>
      <c r="AF14" s="103"/>
      <c r="AG14" s="104"/>
      <c r="AH14" s="105"/>
      <c r="AI14" s="103"/>
      <c r="AJ14" s="104"/>
      <c r="AK14" s="105"/>
      <c r="AL14" s="103"/>
      <c r="AM14" s="106"/>
      <c r="AN14" s="102"/>
      <c r="AO14" s="103"/>
      <c r="AP14" s="104"/>
      <c r="AQ14" s="105"/>
      <c r="AR14" s="103"/>
      <c r="AS14" s="104"/>
      <c r="AT14" s="105"/>
      <c r="AU14" s="103"/>
      <c r="AV14" s="106"/>
      <c r="AW14" s="102"/>
      <c r="AX14" s="103"/>
      <c r="AY14" s="104"/>
      <c r="AZ14" s="105"/>
      <c r="BA14" s="103"/>
      <c r="BB14" s="104"/>
      <c r="BC14" s="105"/>
      <c r="BD14" s="103"/>
      <c r="BE14" s="106"/>
      <c r="BF14" s="102"/>
      <c r="BG14" s="103"/>
      <c r="BH14" s="104"/>
      <c r="BI14" s="105"/>
      <c r="BJ14" s="103"/>
      <c r="BK14" s="104"/>
      <c r="BL14" s="105"/>
      <c r="BM14" s="103"/>
      <c r="BN14" s="106"/>
      <c r="BO14" s="102"/>
      <c r="BP14" s="103"/>
      <c r="BQ14" s="104"/>
      <c r="BR14" s="105"/>
      <c r="BS14" s="103"/>
      <c r="BT14" s="104"/>
      <c r="BU14" s="105"/>
      <c r="BV14" s="103"/>
      <c r="BW14" s="106"/>
    </row>
    <row r="15" spans="1:75" ht="19.5" customHeight="1" x14ac:dyDescent="0.25">
      <c r="B15" s="109" t="s">
        <v>18</v>
      </c>
      <c r="C15" s="110">
        <f>SUM($C$3,$C$5,$C$7,$C$9,$C$11,$C$13)</f>
        <v>0</v>
      </c>
      <c r="D15" s="111"/>
      <c r="E15" s="112"/>
      <c r="F15" s="112"/>
      <c r="G15" s="112"/>
      <c r="H15" s="112"/>
      <c r="I15" s="112"/>
      <c r="J15" s="112"/>
      <c r="K15" s="112"/>
      <c r="L15" s="113"/>
      <c r="M15" s="111"/>
      <c r="N15" s="112"/>
      <c r="O15" s="112"/>
      <c r="P15" s="112"/>
      <c r="Q15" s="112"/>
      <c r="R15" s="112"/>
      <c r="S15" s="112"/>
      <c r="T15" s="112"/>
      <c r="U15" s="113"/>
      <c r="V15" s="111"/>
      <c r="W15" s="112"/>
      <c r="X15" s="112"/>
      <c r="Y15" s="112"/>
      <c r="Z15" s="112"/>
      <c r="AA15" s="112"/>
      <c r="AB15" s="112"/>
      <c r="AC15" s="112"/>
      <c r="AD15" s="113"/>
      <c r="AE15" s="111"/>
      <c r="AF15" s="112"/>
      <c r="AG15" s="112"/>
      <c r="AH15" s="112"/>
      <c r="AI15" s="112"/>
      <c r="AJ15" s="112"/>
      <c r="AK15" s="112"/>
      <c r="AL15" s="112"/>
      <c r="AM15" s="113"/>
      <c r="AN15" s="111"/>
      <c r="AO15" s="112"/>
      <c r="AP15" s="112"/>
      <c r="AQ15" s="112"/>
      <c r="AR15" s="112"/>
      <c r="AS15" s="112"/>
      <c r="AT15" s="112"/>
      <c r="AU15" s="112"/>
      <c r="AV15" s="113"/>
      <c r="AW15" s="111"/>
      <c r="AX15" s="112"/>
      <c r="AY15" s="112"/>
      <c r="AZ15" s="112"/>
      <c r="BA15" s="112"/>
      <c r="BB15" s="112"/>
      <c r="BC15" s="112"/>
      <c r="BD15" s="112"/>
      <c r="BE15" s="113"/>
      <c r="BF15" s="111"/>
      <c r="BG15" s="112"/>
      <c r="BH15" s="112"/>
      <c r="BI15" s="112"/>
      <c r="BJ15" s="112"/>
      <c r="BK15" s="112"/>
      <c r="BL15" s="112"/>
      <c r="BM15" s="112"/>
      <c r="BN15" s="113"/>
      <c r="BO15" s="111"/>
      <c r="BP15" s="112"/>
      <c r="BQ15" s="112"/>
      <c r="BR15" s="112"/>
      <c r="BS15" s="112"/>
      <c r="BT15" s="112"/>
      <c r="BU15" s="112"/>
      <c r="BV15" s="112"/>
      <c r="BW15" s="113"/>
    </row>
    <row r="16" spans="1:75" ht="19.5" customHeight="1" thickBot="1" x14ac:dyDescent="0.3">
      <c r="A16" s="114"/>
      <c r="B16" s="115" t="s">
        <v>19</v>
      </c>
      <c r="C16" s="116">
        <f>SUM($C$4,$C$6,$C$8,$C$10,$C$12,$C$14)</f>
        <v>0</v>
      </c>
      <c r="D16" s="117"/>
      <c r="E16" s="118"/>
      <c r="F16" s="118"/>
      <c r="G16" s="118"/>
      <c r="H16" s="118"/>
      <c r="I16" s="118"/>
      <c r="J16" s="118"/>
      <c r="K16" s="118"/>
      <c r="L16" s="119"/>
      <c r="M16" s="117"/>
      <c r="N16" s="118"/>
      <c r="O16" s="118"/>
      <c r="P16" s="118"/>
      <c r="Q16" s="118"/>
      <c r="R16" s="118"/>
      <c r="S16" s="118"/>
      <c r="T16" s="118"/>
      <c r="U16" s="119"/>
      <c r="V16" s="117"/>
      <c r="W16" s="118"/>
      <c r="X16" s="118"/>
      <c r="Y16" s="118"/>
      <c r="Z16" s="118"/>
      <c r="AA16" s="118"/>
      <c r="AB16" s="118"/>
      <c r="AC16" s="118"/>
      <c r="AD16" s="119"/>
      <c r="AE16" s="117"/>
      <c r="AF16" s="118"/>
      <c r="AG16" s="118"/>
      <c r="AH16" s="118"/>
      <c r="AI16" s="118"/>
      <c r="AJ16" s="118"/>
      <c r="AK16" s="118"/>
      <c r="AL16" s="118"/>
      <c r="AM16" s="119"/>
      <c r="AN16" s="117"/>
      <c r="AO16" s="118"/>
      <c r="AP16" s="118"/>
      <c r="AQ16" s="118"/>
      <c r="AR16" s="118"/>
      <c r="AS16" s="118"/>
      <c r="AT16" s="118"/>
      <c r="AU16" s="118"/>
      <c r="AV16" s="119"/>
      <c r="AW16" s="117"/>
      <c r="AX16" s="118"/>
      <c r="AY16" s="118"/>
      <c r="AZ16" s="118"/>
      <c r="BA16" s="118"/>
      <c r="BB16" s="118"/>
      <c r="BC16" s="118"/>
      <c r="BD16" s="118"/>
      <c r="BE16" s="119"/>
      <c r="BF16" s="117"/>
      <c r="BG16" s="118"/>
      <c r="BH16" s="118"/>
      <c r="BI16" s="118"/>
      <c r="BJ16" s="118"/>
      <c r="BK16" s="118"/>
      <c r="BL16" s="118"/>
      <c r="BM16" s="118"/>
      <c r="BN16" s="119"/>
      <c r="BO16" s="117"/>
      <c r="BP16" s="118"/>
      <c r="BQ16" s="118"/>
      <c r="BR16" s="118"/>
      <c r="BS16" s="118"/>
      <c r="BT16" s="118"/>
      <c r="BU16" s="118"/>
      <c r="BV16" s="118"/>
      <c r="BW16" s="119"/>
    </row>
  </sheetData>
  <sheetProtection sheet="1" objects="1" scenarios="1" insertRows="0" selectLockedCells="1"/>
  <mergeCells count="14">
    <mergeCell ref="BF2:BN2"/>
    <mergeCell ref="BO2:BW2"/>
    <mergeCell ref="D2:L2"/>
    <mergeCell ref="M2:U2"/>
    <mergeCell ref="V2:AD2"/>
    <mergeCell ref="AE2:AM2"/>
    <mergeCell ref="AN2:AV2"/>
    <mergeCell ref="AW2:BE2"/>
    <mergeCell ref="B13:B14"/>
    <mergeCell ref="B3:B4"/>
    <mergeCell ref="B5:B6"/>
    <mergeCell ref="B7:B8"/>
    <mergeCell ref="B9:B10"/>
    <mergeCell ref="B11:B12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15" xr:uid="{9005099C-6E7D-4CBE-8AF8-02F2979A1EC2}">
      <formula1>0</formula1>
      <formula2>$C$9</formula2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16</v>
      </c>
      <c r="C2" s="15" t="s">
        <v>17</v>
      </c>
    </row>
    <row r="3" spans="1:4" ht="19.5" customHeight="1" x14ac:dyDescent="0.25">
      <c r="A3" s="19"/>
      <c r="B3" s="131" t="s">
        <v>15</v>
      </c>
      <c r="C3" s="16">
        <v>0</v>
      </c>
    </row>
    <row r="4" spans="1:4" ht="19.5" customHeight="1" x14ac:dyDescent="0.25">
      <c r="A4" s="19"/>
      <c r="B4" s="132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ColWidth="11.42578125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18</v>
      </c>
      <c r="C3" s="27">
        <v>0</v>
      </c>
    </row>
    <row r="4" spans="2:3" ht="18.75" thickBot="1" x14ac:dyDescent="0.3">
      <c r="B4" s="26" t="s">
        <v>19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20</v>
      </c>
      <c r="B1" s="7">
        <v>1</v>
      </c>
      <c r="C1" s="17"/>
      <c r="D1" s="85"/>
    </row>
    <row r="2" spans="1:4" ht="27.75" thickBot="1" x14ac:dyDescent="0.3">
      <c r="A2" s="8" t="s">
        <v>21</v>
      </c>
      <c r="B2" s="18" t="s">
        <v>22</v>
      </c>
      <c r="C2" s="8" t="s">
        <v>23</v>
      </c>
      <c r="D2" s="8" t="s">
        <v>24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25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20</v>
      </c>
      <c r="B1" s="43">
        <v>1</v>
      </c>
      <c r="C1" s="44" t="s">
        <v>26</v>
      </c>
      <c r="D1" s="53"/>
    </row>
    <row r="2" spans="1:4" ht="27.75" thickBot="1" x14ac:dyDescent="0.3">
      <c r="A2" s="45" t="s">
        <v>21</v>
      </c>
      <c r="B2" s="46" t="s">
        <v>22</v>
      </c>
      <c r="C2" s="45" t="s">
        <v>23</v>
      </c>
      <c r="D2" s="45" t="s">
        <v>24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25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ED3159-D0F9-44D2-AED9-843B58335210}">
  <sheetPr codeName="Feuil9"/>
  <dimension ref="A1:H153"/>
  <sheetViews>
    <sheetView tabSelected="1" topLeftCell="A114" zoomScale="130" zoomScaleNormal="130" workbookViewId="0">
      <selection activeCell="C121" sqref="C12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20</v>
      </c>
      <c r="B1" s="43">
        <v>1</v>
      </c>
      <c r="C1" s="44" t="s">
        <v>26</v>
      </c>
      <c r="D1" s="53">
        <f>Donnees!$C$9</f>
        <v>46036</v>
      </c>
    </row>
    <row r="2" spans="1:4" ht="27.75" thickBot="1" x14ac:dyDescent="0.3">
      <c r="A2" s="45" t="s">
        <v>21</v>
      </c>
      <c r="B2" s="46" t="s">
        <v>22</v>
      </c>
      <c r="C2" s="45" t="s">
        <v>23</v>
      </c>
      <c r="D2" s="45" t="s">
        <v>24</v>
      </c>
    </row>
    <row r="3" spans="1:4" s="52" customFormat="1" x14ac:dyDescent="0.25">
      <c r="A3" s="5" t="s">
        <v>30</v>
      </c>
      <c r="B3" s="4">
        <v>4</v>
      </c>
      <c r="C3" s="88" t="s">
        <v>44</v>
      </c>
      <c r="D3" s="9"/>
    </row>
    <row r="4" spans="1:4" s="52" customFormat="1" x14ac:dyDescent="0.25">
      <c r="A4" s="1" t="s">
        <v>42</v>
      </c>
      <c r="B4" s="2">
        <v>2</v>
      </c>
      <c r="C4" s="89" t="s">
        <v>45</v>
      </c>
      <c r="D4" s="10"/>
    </row>
    <row r="5" spans="1:4" s="52" customFormat="1" x14ac:dyDescent="0.25">
      <c r="A5" s="1" t="s">
        <v>28</v>
      </c>
      <c r="B5" s="2">
        <v>2</v>
      </c>
      <c r="C5" s="89" t="s">
        <v>46</v>
      </c>
      <c r="D5" s="10"/>
    </row>
    <row r="6" spans="1:4" s="52" customFormat="1" x14ac:dyDescent="0.25">
      <c r="A6" s="1" t="s">
        <v>31</v>
      </c>
      <c r="B6" s="2">
        <v>4</v>
      </c>
      <c r="C6" s="89" t="s">
        <v>47</v>
      </c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25</v>
      </c>
      <c r="B18" s="47">
        <f>SUM(B3:B17)</f>
        <v>12</v>
      </c>
      <c r="C18" s="87" t="s">
        <v>43</v>
      </c>
      <c r="D18" s="48"/>
    </row>
    <row r="19" spans="1:8" ht="15" thickBot="1" x14ac:dyDescent="0.35">
      <c r="A19" s="49"/>
      <c r="B19" s="49"/>
      <c r="C19" s="49"/>
      <c r="D19" s="49"/>
    </row>
    <row r="20" spans="1:8" ht="18.75" thickBot="1" x14ac:dyDescent="0.3">
      <c r="A20" s="42" t="s">
        <v>20</v>
      </c>
      <c r="B20" s="43">
        <v>2</v>
      </c>
      <c r="C20" s="44" t="s">
        <v>26</v>
      </c>
      <c r="D20" s="53">
        <f>$D$1+7</f>
        <v>46043</v>
      </c>
    </row>
    <row r="21" spans="1:8" ht="27.75" thickBot="1" x14ac:dyDescent="0.3">
      <c r="A21" s="45" t="s">
        <v>21</v>
      </c>
      <c r="B21" s="46" t="s">
        <v>22</v>
      </c>
      <c r="C21" s="45" t="s">
        <v>23</v>
      </c>
      <c r="D21" s="45" t="s">
        <v>24</v>
      </c>
    </row>
    <row r="22" spans="1:8" x14ac:dyDescent="0.25">
      <c r="A22" s="5" t="s">
        <v>42</v>
      </c>
      <c r="B22" s="4">
        <v>4</v>
      </c>
      <c r="C22" s="88" t="s">
        <v>48</v>
      </c>
      <c r="D22" s="9"/>
    </row>
    <row r="23" spans="1:8" x14ac:dyDescent="0.25">
      <c r="A23" s="1" t="s">
        <v>31</v>
      </c>
      <c r="B23" s="2">
        <v>5</v>
      </c>
      <c r="C23" s="89" t="s">
        <v>49</v>
      </c>
      <c r="D23" s="10"/>
    </row>
    <row r="24" spans="1:8" x14ac:dyDescent="0.25">
      <c r="A24" s="120" t="s">
        <v>31</v>
      </c>
      <c r="B24" s="2">
        <v>3</v>
      </c>
      <c r="C24" s="89" t="s">
        <v>50</v>
      </c>
      <c r="D24" s="10"/>
    </row>
    <row r="25" spans="1:8" ht="12.75" customHeight="1" x14ac:dyDescent="0.25">
      <c r="A25" s="1"/>
      <c r="B25" s="2"/>
      <c r="C25" s="10"/>
      <c r="D25" s="10"/>
      <c r="F25" s="31"/>
      <c r="G25" s="32"/>
      <c r="H25" s="33"/>
    </row>
    <row r="26" spans="1:8" ht="15" x14ac:dyDescent="0.25">
      <c r="A26" s="1"/>
      <c r="B26" s="2"/>
      <c r="C26" s="10"/>
      <c r="D26" s="10"/>
      <c r="F26" s="34"/>
      <c r="G26" s="30"/>
      <c r="H26" s="30"/>
    </row>
    <row r="27" spans="1:8" x14ac:dyDescent="0.25">
      <c r="A27" s="1"/>
      <c r="B27" s="2"/>
      <c r="C27" s="10"/>
      <c r="D27" s="10"/>
      <c r="F27" s="36"/>
      <c r="G27" s="37"/>
      <c r="H27" s="37"/>
    </row>
    <row r="28" spans="1:8" x14ac:dyDescent="0.25">
      <c r="A28" s="1"/>
      <c r="B28" s="2"/>
      <c r="C28" s="10"/>
      <c r="D28" s="10"/>
      <c r="F28" s="36"/>
      <c r="G28" s="37"/>
      <c r="H28" s="37"/>
    </row>
    <row r="29" spans="1:8" x14ac:dyDescent="0.25">
      <c r="A29" s="1"/>
      <c r="B29" s="2"/>
      <c r="C29" s="10"/>
      <c r="D29" s="10"/>
      <c r="F29" s="36"/>
      <c r="G29" s="37"/>
      <c r="H29" s="37"/>
    </row>
    <row r="30" spans="1:8" x14ac:dyDescent="0.25">
      <c r="A30" s="1"/>
      <c r="B30" s="2"/>
      <c r="C30" s="10"/>
      <c r="D30" s="10"/>
      <c r="F30" s="36"/>
      <c r="G30" s="37"/>
      <c r="H30" s="37"/>
    </row>
    <row r="31" spans="1:8" x14ac:dyDescent="0.25">
      <c r="A31" s="2"/>
      <c r="B31" s="2"/>
      <c r="C31" s="10"/>
      <c r="D31" s="10"/>
      <c r="F31" s="36"/>
      <c r="G31" s="37"/>
      <c r="H31" s="37"/>
    </row>
    <row r="32" spans="1:8" x14ac:dyDescent="0.25">
      <c r="A32" s="2"/>
      <c r="B32" s="2"/>
      <c r="C32" s="10"/>
      <c r="D32" s="10"/>
      <c r="F32" s="36"/>
      <c r="G32" s="37"/>
      <c r="H32" s="37"/>
    </row>
    <row r="33" spans="1:8" x14ac:dyDescent="0.25">
      <c r="A33" s="2"/>
      <c r="B33" s="2"/>
      <c r="C33" s="10"/>
      <c r="D33" s="10"/>
      <c r="F33" s="36"/>
      <c r="G33" s="37"/>
      <c r="H33" s="37"/>
    </row>
    <row r="34" spans="1:8" x14ac:dyDescent="0.25">
      <c r="A34" s="50"/>
      <c r="B34" s="50"/>
      <c r="C34" s="51"/>
      <c r="D34" s="51"/>
      <c r="F34" s="36"/>
      <c r="G34" s="37"/>
      <c r="H34" s="37"/>
    </row>
    <row r="35" spans="1:8" x14ac:dyDescent="0.25">
      <c r="A35" s="50"/>
      <c r="B35" s="50"/>
      <c r="C35" s="51"/>
      <c r="D35" s="51"/>
      <c r="F35" s="38"/>
      <c r="G35" s="39"/>
      <c r="H35" s="39"/>
    </row>
    <row r="36" spans="1:8" ht="15" thickBot="1" x14ac:dyDescent="0.35">
      <c r="A36" s="3"/>
      <c r="B36" s="3"/>
      <c r="C36" s="11"/>
      <c r="D36" s="11"/>
      <c r="F36" s="40"/>
      <c r="G36" s="40"/>
      <c r="H36" s="40"/>
    </row>
    <row r="37" spans="1:8" ht="14.25" thickBot="1" x14ac:dyDescent="0.3">
      <c r="A37" s="47" t="s">
        <v>25</v>
      </c>
      <c r="B37" s="47">
        <f>SUM(B22:B36)</f>
        <v>12</v>
      </c>
      <c r="C37" s="87" t="s">
        <v>43</v>
      </c>
      <c r="D37" s="48"/>
    </row>
    <row r="38" spans="1:8" ht="15" thickBot="1" x14ac:dyDescent="0.35">
      <c r="A38" s="49"/>
      <c r="B38" s="49"/>
      <c r="C38" s="49"/>
      <c r="D38" s="49"/>
    </row>
    <row r="39" spans="1:8" ht="18.75" thickBot="1" x14ac:dyDescent="0.3">
      <c r="A39" s="42" t="s">
        <v>20</v>
      </c>
      <c r="B39" s="43">
        <v>3</v>
      </c>
      <c r="C39" s="44" t="s">
        <v>26</v>
      </c>
      <c r="D39" s="53">
        <f>$D$20+7</f>
        <v>46050</v>
      </c>
    </row>
    <row r="40" spans="1:8" ht="27.75" thickBot="1" x14ac:dyDescent="0.3">
      <c r="A40" s="45" t="s">
        <v>21</v>
      </c>
      <c r="B40" s="46" t="s">
        <v>22</v>
      </c>
      <c r="C40" s="45" t="s">
        <v>23</v>
      </c>
      <c r="D40" s="45" t="s">
        <v>24</v>
      </c>
    </row>
    <row r="41" spans="1:8" x14ac:dyDescent="0.25">
      <c r="A41" s="5" t="s">
        <v>31</v>
      </c>
      <c r="B41" s="4">
        <v>9</v>
      </c>
      <c r="C41" s="88" t="s">
        <v>51</v>
      </c>
      <c r="D41" s="9"/>
    </row>
    <row r="42" spans="1:8" x14ac:dyDescent="0.25">
      <c r="A42" s="1" t="s">
        <v>31</v>
      </c>
      <c r="B42" s="2">
        <v>3</v>
      </c>
      <c r="C42" s="89" t="s">
        <v>52</v>
      </c>
      <c r="D42" s="10"/>
    </row>
    <row r="43" spans="1:8" x14ac:dyDescent="0.25">
      <c r="A43" s="1"/>
      <c r="B43" s="2"/>
      <c r="C43" s="10"/>
      <c r="D43" s="10"/>
    </row>
    <row r="44" spans="1:8" x14ac:dyDescent="0.25">
      <c r="A44" s="1"/>
      <c r="B44" s="2"/>
      <c r="C44" s="10"/>
      <c r="D44" s="10"/>
    </row>
    <row r="45" spans="1:8" x14ac:dyDescent="0.25">
      <c r="A45" s="1"/>
      <c r="B45" s="2"/>
      <c r="C45" s="10"/>
      <c r="D45" s="10"/>
    </row>
    <row r="46" spans="1:8" x14ac:dyDescent="0.25">
      <c r="A46" s="1"/>
      <c r="B46" s="2"/>
      <c r="C46" s="10"/>
      <c r="D46" s="10"/>
    </row>
    <row r="47" spans="1:8" x14ac:dyDescent="0.25">
      <c r="A47" s="1"/>
      <c r="B47" s="2"/>
      <c r="C47" s="10"/>
      <c r="D47" s="10"/>
    </row>
    <row r="48" spans="1:8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0"/>
      <c r="B53" s="50"/>
      <c r="C53" s="51"/>
      <c r="D53" s="51"/>
    </row>
    <row r="54" spans="1:4" x14ac:dyDescent="0.25">
      <c r="A54" s="50"/>
      <c r="B54" s="50"/>
      <c r="C54" s="51"/>
      <c r="D54" s="51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7" t="s">
        <v>25</v>
      </c>
      <c r="B56" s="47">
        <f>SUM(B41:B55)</f>
        <v>12</v>
      </c>
      <c r="C56" s="87" t="s">
        <v>43</v>
      </c>
      <c r="D56" s="48"/>
    </row>
    <row r="57" spans="1:4" ht="15" thickBot="1" x14ac:dyDescent="0.35">
      <c r="A57" s="49"/>
      <c r="B57" s="49"/>
      <c r="C57" s="49"/>
      <c r="D57" s="49"/>
    </row>
    <row r="58" spans="1:4" ht="18.75" thickBot="1" x14ac:dyDescent="0.3">
      <c r="A58" s="42" t="s">
        <v>20</v>
      </c>
      <c r="B58" s="43">
        <v>4</v>
      </c>
      <c r="C58" s="44" t="s">
        <v>26</v>
      </c>
      <c r="D58" s="53">
        <f>$D$39+7</f>
        <v>46057</v>
      </c>
    </row>
    <row r="59" spans="1:4" ht="27.75" thickBot="1" x14ac:dyDescent="0.3">
      <c r="A59" s="45" t="s">
        <v>21</v>
      </c>
      <c r="B59" s="46" t="s">
        <v>22</v>
      </c>
      <c r="C59" s="45" t="s">
        <v>23</v>
      </c>
      <c r="D59" s="45" t="s">
        <v>24</v>
      </c>
    </row>
    <row r="60" spans="1:4" x14ac:dyDescent="0.25">
      <c r="A60" s="5" t="s">
        <v>32</v>
      </c>
      <c r="B60" s="4">
        <v>2</v>
      </c>
      <c r="C60" s="88" t="s">
        <v>53</v>
      </c>
      <c r="D60" s="9"/>
    </row>
    <row r="61" spans="1:4" x14ac:dyDescent="0.25">
      <c r="A61" s="1" t="s">
        <v>31</v>
      </c>
      <c r="B61" s="2">
        <v>5</v>
      </c>
      <c r="C61" s="89" t="s">
        <v>54</v>
      </c>
      <c r="D61" s="10"/>
    </row>
    <row r="62" spans="1:4" x14ac:dyDescent="0.25">
      <c r="A62" s="1" t="s">
        <v>31</v>
      </c>
      <c r="B62" s="2">
        <v>2</v>
      </c>
      <c r="C62" s="89" t="s">
        <v>55</v>
      </c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0"/>
      <c r="B72" s="50"/>
      <c r="C72" s="51"/>
      <c r="D72" s="51"/>
    </row>
    <row r="73" spans="1:4" x14ac:dyDescent="0.25">
      <c r="A73" s="50"/>
      <c r="B73" s="50"/>
      <c r="C73" s="51"/>
      <c r="D73" s="51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7" t="s">
        <v>25</v>
      </c>
      <c r="B75" s="47">
        <f>SUM(B60:B74)</f>
        <v>9</v>
      </c>
      <c r="C75" s="87" t="s">
        <v>43</v>
      </c>
      <c r="D75" s="48"/>
    </row>
    <row r="76" spans="1:4" ht="15" thickBot="1" x14ac:dyDescent="0.35">
      <c r="A76" s="49"/>
      <c r="B76" s="49"/>
      <c r="C76" s="49"/>
      <c r="D76" s="49"/>
    </row>
    <row r="77" spans="1:4" ht="18.75" thickBot="1" x14ac:dyDescent="0.3">
      <c r="A77" s="42" t="s">
        <v>20</v>
      </c>
      <c r="B77" s="43">
        <v>5</v>
      </c>
      <c r="C77" s="44" t="s">
        <v>26</v>
      </c>
      <c r="D77" s="53">
        <f>$D$58+7</f>
        <v>46064</v>
      </c>
    </row>
    <row r="78" spans="1:4" ht="27.75" thickBot="1" x14ac:dyDescent="0.3">
      <c r="A78" s="45" t="s">
        <v>21</v>
      </c>
      <c r="B78" s="46" t="s">
        <v>22</v>
      </c>
      <c r="C78" s="45" t="s">
        <v>23</v>
      </c>
      <c r="D78" s="45" t="s">
        <v>24</v>
      </c>
    </row>
    <row r="79" spans="1:4" ht="27" x14ac:dyDescent="0.25">
      <c r="A79" s="5" t="s">
        <v>31</v>
      </c>
      <c r="B79" s="4">
        <v>2</v>
      </c>
      <c r="C79" s="88" t="s">
        <v>56</v>
      </c>
      <c r="D79" s="9"/>
    </row>
    <row r="80" spans="1:4" ht="27" x14ac:dyDescent="0.25">
      <c r="A80" s="1" t="s">
        <v>32</v>
      </c>
      <c r="B80" s="2">
        <v>1</v>
      </c>
      <c r="C80" s="89" t="s">
        <v>57</v>
      </c>
      <c r="D80" s="10"/>
    </row>
    <row r="81" spans="1:4" ht="27" x14ac:dyDescent="0.25">
      <c r="A81" s="1" t="s">
        <v>31</v>
      </c>
      <c r="B81" s="2">
        <v>6</v>
      </c>
      <c r="C81" s="89" t="s">
        <v>58</v>
      </c>
      <c r="D81" s="10"/>
    </row>
    <row r="82" spans="1:4" x14ac:dyDescent="0.25">
      <c r="A82" s="1" t="s">
        <v>42</v>
      </c>
      <c r="B82" s="2">
        <v>1</v>
      </c>
      <c r="C82" s="89" t="s">
        <v>59</v>
      </c>
      <c r="D82" s="10"/>
    </row>
    <row r="83" spans="1:4" x14ac:dyDescent="0.25">
      <c r="A83" s="1" t="s">
        <v>31</v>
      </c>
      <c r="B83" s="2">
        <v>2</v>
      </c>
      <c r="C83" s="89" t="s">
        <v>60</v>
      </c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0"/>
      <c r="B91" s="50"/>
      <c r="C91" s="51"/>
      <c r="D91" s="51"/>
    </row>
    <row r="92" spans="1:4" x14ac:dyDescent="0.25">
      <c r="A92" s="50"/>
      <c r="B92" s="50"/>
      <c r="C92" s="51"/>
      <c r="D92" s="51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7" t="s">
        <v>25</v>
      </c>
      <c r="B94" s="47">
        <f>SUM(B79:B93)</f>
        <v>12</v>
      </c>
      <c r="C94" s="87" t="s">
        <v>43</v>
      </c>
      <c r="D94" s="48"/>
    </row>
    <row r="95" spans="1:4" ht="15" thickBot="1" x14ac:dyDescent="0.35">
      <c r="A95" s="49"/>
      <c r="B95" s="49"/>
      <c r="C95" s="49"/>
      <c r="D95" s="49"/>
    </row>
    <row r="96" spans="1:4" ht="18.75" thickBot="1" x14ac:dyDescent="0.3">
      <c r="A96" s="42" t="s">
        <v>20</v>
      </c>
      <c r="B96" s="43">
        <v>6</v>
      </c>
      <c r="C96" s="44" t="s">
        <v>26</v>
      </c>
      <c r="D96" s="53">
        <f>$D$77+7</f>
        <v>46071</v>
      </c>
    </row>
    <row r="97" spans="1:4" ht="27.75" thickBot="1" x14ac:dyDescent="0.3">
      <c r="A97" s="45" t="s">
        <v>21</v>
      </c>
      <c r="B97" s="46" t="s">
        <v>22</v>
      </c>
      <c r="C97" s="45" t="s">
        <v>23</v>
      </c>
      <c r="D97" s="45" t="s">
        <v>24</v>
      </c>
    </row>
    <row r="98" spans="1:4" x14ac:dyDescent="0.25">
      <c r="A98" s="5"/>
      <c r="B98" s="4"/>
      <c r="C98" s="135" t="s">
        <v>61</v>
      </c>
      <c r="D98" s="9"/>
    </row>
    <row r="99" spans="1:4" x14ac:dyDescent="0.25">
      <c r="A99" s="1"/>
      <c r="B99" s="2"/>
      <c r="C99" s="133"/>
      <c r="D99" s="10"/>
    </row>
    <row r="100" spans="1:4" x14ac:dyDescent="0.25">
      <c r="A100" s="1"/>
      <c r="B100" s="2"/>
      <c r="C100" s="133"/>
      <c r="D100" s="10"/>
    </row>
    <row r="101" spans="1:4" x14ac:dyDescent="0.25">
      <c r="A101" s="1"/>
      <c r="B101" s="2"/>
      <c r="C101" s="133"/>
      <c r="D101" s="10"/>
    </row>
    <row r="102" spans="1:4" x14ac:dyDescent="0.25">
      <c r="A102" s="1"/>
      <c r="B102" s="2"/>
      <c r="C102" s="133"/>
      <c r="D102" s="10"/>
    </row>
    <row r="103" spans="1:4" x14ac:dyDescent="0.25">
      <c r="A103" s="1"/>
      <c r="B103" s="2"/>
      <c r="C103" s="133"/>
      <c r="D103" s="10"/>
    </row>
    <row r="104" spans="1:4" x14ac:dyDescent="0.25">
      <c r="A104" s="1"/>
      <c r="B104" s="2"/>
      <c r="C104" s="133"/>
      <c r="D104" s="10"/>
    </row>
    <row r="105" spans="1:4" x14ac:dyDescent="0.25">
      <c r="A105" s="1"/>
      <c r="B105" s="2"/>
      <c r="C105" s="133"/>
      <c r="D105" s="10"/>
    </row>
    <row r="106" spans="1:4" x14ac:dyDescent="0.25">
      <c r="A106" s="1"/>
      <c r="B106" s="2"/>
      <c r="C106" s="133"/>
      <c r="D106" s="10"/>
    </row>
    <row r="107" spans="1:4" x14ac:dyDescent="0.25">
      <c r="A107" s="2"/>
      <c r="B107" s="2"/>
      <c r="C107" s="133"/>
      <c r="D107" s="10"/>
    </row>
    <row r="108" spans="1:4" x14ac:dyDescent="0.25">
      <c r="A108" s="2"/>
      <c r="B108" s="2"/>
      <c r="C108" s="133"/>
      <c r="D108" s="10"/>
    </row>
    <row r="109" spans="1:4" x14ac:dyDescent="0.25">
      <c r="A109" s="2"/>
      <c r="B109" s="2"/>
      <c r="C109" s="133"/>
      <c r="D109" s="10"/>
    </row>
    <row r="110" spans="1:4" x14ac:dyDescent="0.25">
      <c r="A110" s="50"/>
      <c r="B110" s="50"/>
      <c r="C110" s="133"/>
      <c r="D110" s="51"/>
    </row>
    <row r="111" spans="1:4" x14ac:dyDescent="0.25">
      <c r="A111" s="50"/>
      <c r="B111" s="50"/>
      <c r="C111" s="133"/>
      <c r="D111" s="51"/>
    </row>
    <row r="112" spans="1:4" ht="14.25" thickBot="1" x14ac:dyDescent="0.3">
      <c r="A112" s="3"/>
      <c r="B112" s="3"/>
      <c r="C112" s="134"/>
      <c r="D112" s="11"/>
    </row>
    <row r="113" spans="1:4" ht="14.25" thickBot="1" x14ac:dyDescent="0.3">
      <c r="A113" s="47" t="s">
        <v>25</v>
      </c>
      <c r="B113" s="47">
        <f>SUM(B98:B112)</f>
        <v>0</v>
      </c>
      <c r="C113" s="87" t="s">
        <v>43</v>
      </c>
      <c r="D113" s="48"/>
    </row>
    <row r="114" spans="1:4" ht="15" thickBot="1" x14ac:dyDescent="0.35">
      <c r="A114" s="49"/>
      <c r="B114" s="49"/>
      <c r="C114" s="49"/>
      <c r="D114" s="49"/>
    </row>
    <row r="115" spans="1:4" ht="18.75" thickBot="1" x14ac:dyDescent="0.3">
      <c r="A115" s="42" t="s">
        <v>20</v>
      </c>
      <c r="B115" s="43">
        <v>7</v>
      </c>
      <c r="C115" s="44" t="s">
        <v>26</v>
      </c>
      <c r="D115" s="53">
        <f>$D$96+7</f>
        <v>46078</v>
      </c>
    </row>
    <row r="116" spans="1:4" ht="27.75" thickBot="1" x14ac:dyDescent="0.3">
      <c r="A116" s="45" t="s">
        <v>21</v>
      </c>
      <c r="B116" s="46" t="s">
        <v>22</v>
      </c>
      <c r="C116" s="45" t="s">
        <v>23</v>
      </c>
      <c r="D116" s="45" t="s">
        <v>24</v>
      </c>
    </row>
    <row r="117" spans="1:4" x14ac:dyDescent="0.25">
      <c r="A117" s="5" t="s">
        <v>31</v>
      </c>
      <c r="B117" s="4">
        <v>4</v>
      </c>
      <c r="C117" s="88" t="s">
        <v>62</v>
      </c>
      <c r="D117" s="9"/>
    </row>
    <row r="118" spans="1:4" x14ac:dyDescent="0.25">
      <c r="A118" s="1" t="s">
        <v>31</v>
      </c>
      <c r="B118" s="2">
        <v>2</v>
      </c>
      <c r="C118" s="89" t="s">
        <v>63</v>
      </c>
      <c r="D118" s="10"/>
    </row>
    <row r="119" spans="1:4" x14ac:dyDescent="0.25">
      <c r="A119" s="1" t="s">
        <v>31</v>
      </c>
      <c r="B119" s="2">
        <v>3</v>
      </c>
      <c r="C119" s="89" t="s">
        <v>64</v>
      </c>
      <c r="D119" s="10"/>
    </row>
    <row r="120" spans="1:4" x14ac:dyDescent="0.25">
      <c r="A120" s="1" t="s">
        <v>31</v>
      </c>
      <c r="B120" s="2">
        <v>2</v>
      </c>
      <c r="C120" s="89" t="s">
        <v>65</v>
      </c>
      <c r="D120" s="10"/>
    </row>
    <row r="121" spans="1:4" x14ac:dyDescent="0.25">
      <c r="A121" s="1" t="s">
        <v>66</v>
      </c>
      <c r="B121" s="2">
        <v>1</v>
      </c>
      <c r="C121" s="89" t="s">
        <v>67</v>
      </c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0"/>
      <c r="B129" s="50"/>
      <c r="C129" s="51"/>
      <c r="D129" s="51"/>
    </row>
    <row r="130" spans="1:4" x14ac:dyDescent="0.25">
      <c r="A130" s="50"/>
      <c r="B130" s="50"/>
      <c r="C130" s="51"/>
      <c r="D130" s="51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7" t="s">
        <v>25</v>
      </c>
      <c r="B132" s="47">
        <f>SUM(B117:B131)</f>
        <v>12</v>
      </c>
      <c r="C132" s="87" t="s">
        <v>43</v>
      </c>
      <c r="D132" s="48"/>
    </row>
    <row r="133" spans="1:4" ht="15" thickBot="1" x14ac:dyDescent="0.35">
      <c r="A133" s="49"/>
      <c r="B133" s="49"/>
      <c r="C133" s="49"/>
      <c r="D133" s="49"/>
    </row>
    <row r="134" spans="1:4" ht="18.75" thickBot="1" x14ac:dyDescent="0.3">
      <c r="A134" s="42" t="s">
        <v>20</v>
      </c>
      <c r="B134" s="43">
        <v>8</v>
      </c>
      <c r="C134" s="44" t="s">
        <v>26</v>
      </c>
      <c r="D134" s="53">
        <f>$D$115+7</f>
        <v>46085</v>
      </c>
    </row>
    <row r="135" spans="1:4" ht="27.75" thickBot="1" x14ac:dyDescent="0.3">
      <c r="A135" s="45" t="s">
        <v>21</v>
      </c>
      <c r="B135" s="46" t="s">
        <v>22</v>
      </c>
      <c r="C135" s="45" t="s">
        <v>23</v>
      </c>
      <c r="D135" s="45" t="s">
        <v>24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0"/>
      <c r="B148" s="50"/>
      <c r="C148" s="51"/>
      <c r="D148" s="51"/>
    </row>
    <row r="149" spans="1:4" x14ac:dyDescent="0.25">
      <c r="A149" s="50"/>
      <c r="B149" s="50"/>
      <c r="C149" s="51"/>
      <c r="D149" s="51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7" t="s">
        <v>25</v>
      </c>
      <c r="B151" s="47">
        <f>SUM(B136:B150)</f>
        <v>0</v>
      </c>
      <c r="C151" s="87" t="s">
        <v>43</v>
      </c>
      <c r="D151" s="48"/>
    </row>
    <row r="152" spans="1:4" ht="14.25" x14ac:dyDescent="0.3">
      <c r="A152" s="49"/>
      <c r="B152" s="49"/>
      <c r="C152" s="49"/>
      <c r="D152" s="49"/>
    </row>
    <row r="153" spans="1:4" x14ac:dyDescent="0.25">
      <c r="A153" s="86" t="s">
        <v>27</v>
      </c>
    </row>
  </sheetData>
  <mergeCells count="1">
    <mergeCell ref="C98:C112"/>
  </mergeCells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E6C5DD68-8FDD-4B9E-AA96-B0B47DB578B2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 xr:uid="{A566A4B5-D528-4CEB-804D-CF3D4DB83409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D3D93174-DC76-4D8F-A54C-607F8440F64C}">
      <formula1>0</formula1>
      <formula2>NbPerWeek * NbQuartPer</formula2>
    </dataValidation>
    <dataValidation type="list" allowBlank="1" showInputMessage="1" showErrorMessage="1" sqref="A3:A17 A22:A36 A41:A55 A60:A74 A79:A93 A98:A112 A117:A131 A136:A150" xr:uid="{28449E14-5BA0-4F43-9031-FE4BB5B35A84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2465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62465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4356f79f-5386-4bda-9d92-82d8bd7b074e" xsi:nil="true"/>
    <lcf76f155ced4ddcb4097134ff3c332f xmlns="3eb094ff-ec8d-44d8-be06-94ad3ec8832a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1C931FEC57CD24D841BB655C8BA0DFF" ma:contentTypeVersion="11" ma:contentTypeDescription="Crée un document." ma:contentTypeScope="" ma:versionID="5adde4209c5ea3e6f9eb5143570cd275">
  <xsd:schema xmlns:xsd="http://www.w3.org/2001/XMLSchema" xmlns:xs="http://www.w3.org/2001/XMLSchema" xmlns:p="http://schemas.microsoft.com/office/2006/metadata/properties" xmlns:ns2="3eb094ff-ec8d-44d8-be06-94ad3ec8832a" xmlns:ns3="4356f79f-5386-4bda-9d92-82d8bd7b074e" targetNamespace="http://schemas.microsoft.com/office/2006/metadata/properties" ma:root="true" ma:fieldsID="22fa6435dd6f2ca58bfcccb54a16a6ed" ns2:_="" ns3:_="">
    <xsd:import namespace="3eb094ff-ec8d-44d8-be06-94ad3ec8832a"/>
    <xsd:import namespace="4356f79f-5386-4bda-9d92-82d8bd7b074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eb094ff-ec8d-44d8-be06-94ad3ec8832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356f79f-5386-4bda-9d92-82d8bd7b074e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c8a02a98-c896-452a-b379-fa0305ae7fcb}" ma:internalName="TaxCatchAll" ma:showField="CatchAllData" ma:web="4356f79f-5386-4bda-9d92-82d8bd7b074e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C29126A-0525-4FCA-A870-5924A033DD5A}">
  <ds:schemaRefs>
    <ds:schemaRef ds:uri="http://schemas.microsoft.com/office/2006/documentManagement/types"/>
    <ds:schemaRef ds:uri="http://schemas.microsoft.com/office/infopath/2007/PartnerControls"/>
    <ds:schemaRef ds:uri="http://purl.org/dc/dcmitype/"/>
    <ds:schemaRef ds:uri="http://purl.org/dc/elements/1.1/"/>
    <ds:schemaRef ds:uri="http://purl.org/dc/terms/"/>
    <ds:schemaRef ds:uri="3eb094ff-ec8d-44d8-be06-94ad3ec8832a"/>
    <ds:schemaRef ds:uri="http://www.w3.org/XML/1998/namespace"/>
    <ds:schemaRef ds:uri="4356f79f-5386-4bda-9d92-82d8bd7b074e"/>
    <ds:schemaRef ds:uri="http://schemas.openxmlformats.org/package/2006/metadata/core-properties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960C08C0-25E4-43E4-9874-B5B9591A97C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eb094ff-ec8d-44d8-be06-94ad3ec8832a"/>
    <ds:schemaRef ds:uri="4356f79f-5386-4bda-9d92-82d8bd7b074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12</vt:i4>
      </vt:variant>
    </vt:vector>
  </HeadingPairs>
  <TitlesOfParts>
    <vt:vector size="19" baseType="lpstr">
      <vt:lpstr>Donnees</vt:lpstr>
      <vt:lpstr>Diagramme</vt:lpstr>
      <vt:lpstr>DiagramHeader</vt:lpstr>
      <vt:lpstr>DiagramFooter</vt:lpstr>
      <vt:lpstr>PlanificationWeek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Kentin Fankhauser</dc:creator>
  <cp:keywords/>
  <dc:description/>
  <cp:lastModifiedBy>Kentin Fankhauser</cp:lastModifiedBy>
  <cp:revision/>
  <dcterms:created xsi:type="dcterms:W3CDTF">1996-10-21T11:03:58Z</dcterms:created>
  <dcterms:modified xsi:type="dcterms:W3CDTF">2026-02-25T15:24:49Z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0x01010051C931FEC57CD24D841BB655C8BA0DFF</vt:lpwstr>
  </property>
  <property fmtid="{D5CDD505-2E9C-101B-9397-08002B2CF9AE}" pid="3" name="Order">
    <vt:r8>54500</vt:r8>
  </property>
  <property fmtid="{D5CDD505-2E9C-101B-9397-08002B2CF9AE}" pid="4" name="xd_Signature">
    <vt:bool>false</vt:bool>
  </property>
  <property fmtid="{D5CDD505-2E9C-101B-9397-08002B2CF9AE}" pid="5" name="xd_ProgID">
    <vt:lpwstr/>
  </property>
  <property fmtid="{D5CDD505-2E9C-101B-9397-08002B2CF9AE}" pid="6" name="_ExtendedDescription">
    <vt:lpwstr/>
  </property>
  <property fmtid="{D5CDD505-2E9C-101B-9397-08002B2CF9AE}" pid="7" name="TriggerFlowInfo">
    <vt:lpwstr/>
  </property>
  <property fmtid="{D5CDD505-2E9C-101B-9397-08002B2CF9AE}" pid="8" name="ComplianceAssetId">
    <vt:lpwstr/>
  </property>
  <property fmtid="{D5CDD505-2E9C-101B-9397-08002B2CF9AE}" pid="9" name="TemplateUrl">
    <vt:lpwstr/>
  </property>
  <property fmtid="{D5CDD505-2E9C-101B-9397-08002B2CF9AE}" pid="10" name="MediaServiceImageTags">
    <vt:lpwstr/>
  </property>
</Properties>
</file>